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ain\Downloads\"/>
    </mc:Choice>
  </mc:AlternateContent>
  <xr:revisionPtr revIDLastSave="0" documentId="13_ncr:1_{723EDFAF-3355-4D07-9FF2-1114DA5B90CB}" xr6:coauthVersionLast="47" xr6:coauthVersionMax="47" xr10:uidLastSave="{00000000-0000-0000-0000-000000000000}"/>
  <bookViews>
    <workbookView xWindow="-108" yWindow="-108" windowWidth="23256" windowHeight="12456" firstSheet="1" activeTab="3" xr2:uid="{D684B238-EBCC-48E5-825B-FDD53516F885}"/>
  </bookViews>
  <sheets>
    <sheet name="Lucro Mensal - Dashboard" sheetId="3" r:id="rId1"/>
    <sheet name="Despesas - Dashboard" sheetId="1" r:id="rId2"/>
    <sheet name="Sugestões Rota - Dashboard" sheetId="4" r:id="rId3"/>
    <sheet name="Desempenho - Dashboard" sheetId="5" r:id="rId4"/>
  </sheets>
  <calcPr calcId="191029"/>
  <pivotCaches>
    <pivotCache cacheId="182" r:id="rId5"/>
    <pivotCache cacheId="183" r:id="rId6"/>
    <pivotCache cacheId="185" r:id="rId7"/>
    <pivotCache cacheId="19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todespesas_d810d75b-5bda-425d-adc1-97353dfa2e85" name="fatodespesas" connection="Consulta - fatodespesas"/>
          <x15:modelTable id="fatoreceitas_52113322-fd53-4f68-aec2-716d78e673c4" name="fatoreceitas" connection="Consulta - fatoreceitas"/>
          <x15:modelTable id="fatorotas_253b992f-a07e-4270-a8cd-5851211dd240" name="fatorotas" connection="Consulta - fatorotas"/>
          <x15:modelTable id="fatosugestoes_f1967f62-cbf8-43d7-8a3e-a41eab1e45ee" name="fatosugestoes" connection="Consulta - fatosugestoes"/>
          <x15:modelTable id="calendario_6c524e7a-499e-4e8d-9aca-46f240fc1ea8" name="calendario" connection="Consulta - calendario"/>
        </x15:modelTables>
        <x15:modelRelationships>
          <x15:modelRelationship fromTable="fatodespesas" fromColumn="datacompleta" toTable="calendario" toColumn="datacompleta"/>
          <x15:modelRelationship fromTable="fatoreceitas" fromColumn="datacompleta" toTable="calendario" toColumn="datacomplet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io" columnName="datacompleta" columnId="datacompleta">
                <x16:calculatedTimeColumn columnName="datacompleta (Ano)" columnId="datacompleta (Ano)" contentType="years" isSelected="1"/>
                <x16:calculatedTimeColumn columnName="datacompleta (Trimestre)" columnId="datacompleta (Trimestre)" contentType="quarters" isSelected="1"/>
                <x16:calculatedTimeColumn columnName="datacompleta (Índice de Mês)" columnId="datacompleta (Índice de Mês)" contentType="monthsindex" isSelected="1"/>
                <x16:calculatedTimeColumn columnName="datacompleta (Mês)" columnId="datacomple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5" l="1"/>
  <c r="I8" i="5"/>
  <c r="H9" i="5"/>
  <c r="H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126E1-1AEB-4024-B83C-5AA0BD5ED521}" name="Consulta - calendario" description="Conexão com a consulta 'calendario' na pasta de trabalho." type="100" refreshedVersion="8" minRefreshableVersion="5">
    <extLst>
      <ext xmlns:x15="http://schemas.microsoft.com/office/spreadsheetml/2010/11/main" uri="{DE250136-89BD-433C-8126-D09CA5730AF9}">
        <x15:connection id="b1a18727-b2f3-41a3-bce8-fb55d6b20e26"/>
      </ext>
    </extLst>
  </connection>
  <connection id="2" xr16:uid="{79FF485A-C9EA-48E1-AA01-4BAAF2804EAE}" name="Consulta - fatodespesas" description="Conexão com a consulta 'fatodespesas' na pasta de trabalho." type="100" refreshedVersion="8" minRefreshableVersion="5">
    <extLst>
      <ext xmlns:x15="http://schemas.microsoft.com/office/spreadsheetml/2010/11/main" uri="{DE250136-89BD-433C-8126-D09CA5730AF9}">
        <x15:connection id="8be30d74-b035-437f-803e-85e0beb51cca"/>
      </ext>
    </extLst>
  </connection>
  <connection id="3" xr16:uid="{B7C98307-5691-4593-AE54-67083888CD02}" name="Consulta - fatoreceitas" description="Conexão com a consulta 'fatoreceitas' na pasta de trabalho." type="100" refreshedVersion="8" minRefreshableVersion="5">
    <extLst>
      <ext xmlns:x15="http://schemas.microsoft.com/office/spreadsheetml/2010/11/main" uri="{DE250136-89BD-433C-8126-D09CA5730AF9}">
        <x15:connection id="0af79594-7ab8-42ad-9292-57d4b3539c74"/>
      </ext>
    </extLst>
  </connection>
  <connection id="4" xr16:uid="{B973EEFA-2541-49E4-8FF4-6F92AE9E6498}" name="Consulta - fatorotas" description="Conexão com a consulta 'fatorotas' na pasta de trabalho." type="100" refreshedVersion="8" minRefreshableVersion="5">
    <extLst>
      <ext xmlns:x15="http://schemas.microsoft.com/office/spreadsheetml/2010/11/main" uri="{DE250136-89BD-433C-8126-D09CA5730AF9}">
        <x15:connection id="bdb7ce4e-037b-481b-87b5-ee68911e7e8e"/>
      </ext>
    </extLst>
  </connection>
  <connection id="5" xr16:uid="{0D874ADE-50E0-45A6-8775-6561A9F2B5C3}" name="Consulta - fatosugestoes" description="Conexão com a consulta 'fatosugestoes' na pasta de trabalho." type="100" refreshedVersion="8" minRefreshableVersion="5">
    <extLst>
      <ext xmlns:x15="http://schemas.microsoft.com/office/spreadsheetml/2010/11/main" uri="{DE250136-89BD-433C-8126-D09CA5730AF9}">
        <x15:connection id="9863dbc3-102a-46a6-a1b2-909ac03c0075"/>
      </ext>
    </extLst>
  </connection>
  <connection id="6" xr16:uid="{E7F360A1-AD2B-446D-9605-501DF800DDA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lendario].[ano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<sst xmlns="http://schemas.openxmlformats.org/spreadsheetml/2006/main" count="37" uniqueCount="27">
  <si>
    <t>Rótulos de Linha</t>
  </si>
  <si>
    <t>Manutencao Veiculo</t>
  </si>
  <si>
    <t>Pagamento Funcionario</t>
  </si>
  <si>
    <t>Total Geral</t>
  </si>
  <si>
    <t>Soma de valordespesa</t>
  </si>
  <si>
    <t>06</t>
  </si>
  <si>
    <t>07</t>
  </si>
  <si>
    <t>All</t>
  </si>
  <si>
    <t>ano</t>
  </si>
  <si>
    <t>Soma de valorpago</t>
  </si>
  <si>
    <t>OBS: clicando no botão de "+" aparece o ganho/gasto por dia</t>
  </si>
  <si>
    <t>Mas, clicando no botão "-" aparece o ganho/gasto ao final do mês</t>
  </si>
  <si>
    <t>Niteroi</t>
  </si>
  <si>
    <t>Rio de Janeiro</t>
  </si>
  <si>
    <t>Rótulos de Coluna</t>
  </si>
  <si>
    <t>Destino</t>
  </si>
  <si>
    <t>Origem</t>
  </si>
  <si>
    <t>Contagem de tiposugestao</t>
  </si>
  <si>
    <t>Bruno Lima</t>
  </si>
  <si>
    <t>Carla Dias</t>
  </si>
  <si>
    <t>Contagem de statusrota</t>
  </si>
  <si>
    <t>Soma de qtdavisosatraso</t>
  </si>
  <si>
    <t>Soma de qtdavisoscancelamento</t>
  </si>
  <si>
    <t>Taxa de atraso</t>
  </si>
  <si>
    <t>Taxa de cancelamento</t>
  </si>
  <si>
    <t>Motorista</t>
  </si>
  <si>
    <t>QUAIS MOTORISTAS TÊM MAIS ATRASOS E/OU CANCELAMENTOS?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</si>
</sst>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- FIR - ELIS - MI.xlsx]Lucro Mensal - Dashboard!Tabela dinâmica2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'Lucro Mensal - Dashboard'!$D$9</c:f>
              <c:strCache>
                <c:ptCount val="1"/>
                <c:pt idx="0">
                  <c:v>Soma de valorpago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'Lucro Mensal - Dashboard'!$C$10:$C$12</c:f>
              <c:strCache>
                <c:ptCount val="2"/>
                <c:pt idx="0">
                  <c:v>06</c:v>
                </c:pt>
                <c:pt idx="1">
                  <c:v>07</c:v>
                </c:pt>
              </c:strCache>
            </c:strRef>
          </c:cat>
          <c:val>
            <c:numRef>
              <c:f>'Lucro Mensal - Dashboard'!$D$10:$D$12</c:f>
              <c:numCache>
                <c:formatCode>General</c:formatCode>
                <c:ptCount val="2"/>
                <c:pt idx="0">
                  <c:v>22.5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0DE-AAD6-8DC493B43F01}"/>
            </c:ext>
          </c:extLst>
        </c:ser>
        <c:ser>
          <c:idx val="1"/>
          <c:order val="1"/>
          <c:tx>
            <c:strRef>
              <c:f>'Lucro Mensal - Dashboard'!$E$9</c:f>
              <c:strCache>
                <c:ptCount val="1"/>
                <c:pt idx="0">
                  <c:v>Soma de valordespesa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'Lucro Mensal - Dashboard'!$C$10:$C$12</c:f>
              <c:strCache>
                <c:ptCount val="2"/>
                <c:pt idx="0">
                  <c:v>06</c:v>
                </c:pt>
                <c:pt idx="1">
                  <c:v>07</c:v>
                </c:pt>
              </c:strCache>
            </c:strRef>
          </c:cat>
          <c:val>
            <c:numRef>
              <c:f>'Lucro Mensal - Dashboard'!$E$10:$E$12</c:f>
              <c:numCache>
                <c:formatCode>General</c:formatCode>
                <c:ptCount val="2"/>
                <c:pt idx="0">
                  <c:v>20070</c:v>
                </c:pt>
                <c:pt idx="1">
                  <c:v>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0DE-AAD6-8DC493B43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800751"/>
        <c:axId val="531752591"/>
      </c:barChart>
      <c:catAx>
        <c:axId val="139680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752591"/>
        <c:crosses val="autoZero"/>
        <c:auto val="1"/>
        <c:lblAlgn val="ctr"/>
        <c:lblOffset val="100"/>
        <c:noMultiLvlLbl val="0"/>
      </c:catAx>
      <c:valAx>
        <c:axId val="531752591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680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- FIR - ELIS - MI.xlsx]Despesas - Dashboard!Tabela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Objetivo</a:t>
            </a:r>
            <a:r>
              <a:rPr lang="en-US" baseline="0"/>
              <a:t> 13 - Ver despesas da FIR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'Despesas - Dashboard'!$F$6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'Despesas - Dashboard'!$E$7:$E$9</c:f>
              <c:strCache>
                <c:ptCount val="2"/>
                <c:pt idx="0">
                  <c:v>Manutencao Veiculo</c:v>
                </c:pt>
                <c:pt idx="1">
                  <c:v>Pagamento Funcionario</c:v>
                </c:pt>
              </c:strCache>
            </c:strRef>
          </c:cat>
          <c:val>
            <c:numRef>
              <c:f>'Despesas - Dashboard'!$F$7:$F$9</c:f>
              <c:numCache>
                <c:formatCode>General</c:formatCode>
                <c:ptCount val="2"/>
                <c:pt idx="0">
                  <c:v>4280</c:v>
                </c:pt>
                <c:pt idx="1">
                  <c:v>21736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F-4457-A9CD-13F2E28C2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853647"/>
        <c:axId val="531760751"/>
      </c:barChart>
      <c:catAx>
        <c:axId val="139685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760751"/>
        <c:crosses val="autoZero"/>
        <c:auto val="1"/>
        <c:lblAlgn val="ctr"/>
        <c:lblOffset val="100"/>
        <c:noMultiLvlLbl val="0"/>
      </c:catAx>
      <c:valAx>
        <c:axId val="5317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685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- FIR - ELIS - MI.xlsx]Sugestões Rota - Dashboard!Tabela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Objetivo</a:t>
            </a:r>
            <a:r>
              <a:rPr lang="pt-BR" baseline="0"/>
              <a:t> 12 - Ver sugestões de rota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'Sugestões Rota - Dashboard'!$D$6:$D$7</c:f>
              <c:strCache>
                <c:ptCount val="1"/>
                <c:pt idx="0">
                  <c:v>Destino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'Sugestões Rota - Dashboard'!$C$8:$C$10</c:f>
              <c:strCache>
                <c:ptCount val="2"/>
                <c:pt idx="0">
                  <c:v>Niteroi</c:v>
                </c:pt>
                <c:pt idx="1">
                  <c:v>Rio de Janeiro</c:v>
                </c:pt>
              </c:strCache>
            </c:strRef>
          </c:cat>
          <c:val>
            <c:numRef>
              <c:f>'Sugestões Rota - Dashboard'!$D$8:$D$10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6-4AFA-8D51-90A274D43872}"/>
            </c:ext>
          </c:extLst>
        </c:ser>
        <c:ser>
          <c:idx val="1"/>
          <c:order val="1"/>
          <c:tx>
            <c:strRef>
              <c:f>'Sugestões Rota - Dashboard'!$E$6:$E$7</c:f>
              <c:strCache>
                <c:ptCount val="1"/>
                <c:pt idx="0">
                  <c:v>Origem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'Sugestões Rota - Dashboard'!$C$8:$C$10</c:f>
              <c:strCache>
                <c:ptCount val="2"/>
                <c:pt idx="0">
                  <c:v>Niteroi</c:v>
                </c:pt>
                <c:pt idx="1">
                  <c:v>Rio de Janeiro</c:v>
                </c:pt>
              </c:strCache>
            </c:strRef>
          </c:cat>
          <c:val>
            <c:numRef>
              <c:f>'Sugestões Rota - Dashboard'!$E$8:$E$10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6-4AFA-8D51-90A274D43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812815"/>
        <c:axId val="531739631"/>
      </c:barChart>
      <c:catAx>
        <c:axId val="13968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739631"/>
        <c:crosses val="autoZero"/>
        <c:auto val="1"/>
        <c:lblAlgn val="ctr"/>
        <c:lblOffset val="100"/>
        <c:noMultiLvlLbl val="0"/>
      </c:catAx>
      <c:valAx>
        <c:axId val="53173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68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6</xdr:row>
      <xdr:rowOff>87630</xdr:rowOff>
    </xdr:from>
    <xdr:to>
      <xdr:col>14</xdr:col>
      <xdr:colOff>129540</xdr:colOff>
      <xdr:row>21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AC112-2082-D012-3472-A0A131A17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2</xdr:row>
      <xdr:rowOff>64770</xdr:rowOff>
    </xdr:from>
    <xdr:to>
      <xdr:col>13</xdr:col>
      <xdr:colOff>594360</xdr:colOff>
      <xdr:row>17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D62275-9647-DC56-4CA1-53C8E1B38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3810</xdr:rowOff>
    </xdr:from>
    <xdr:to>
      <xdr:col>13</xdr:col>
      <xdr:colOff>495300</xdr:colOff>
      <xdr:row>17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DC6B7C-604F-0F72-6F94-BE8D62FF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ainne Rohs" refreshedDate="46279.451584259259" backgroundQuery="1" createdVersion="8" refreshedVersion="8" minRefreshableVersion="3" recordCount="0" supportSubquery="1" supportAdvancedDrill="1" xr:uid="{CA5A8318-25B5-44AD-ACB6-187F3B77F385}">
  <cacheSource type="external" connectionId="6"/>
  <cacheFields count="5">
    <cacheField name="[calendario].[datacompleta].[datacompleta]" caption="datacompleta" numFmtId="0" hierarchy="1" level="1">
      <sharedItems containsSemiMixedTypes="0" containsNonDate="0" containsDate="1" containsString="0" minDate="2025-06-05T00:00:00" maxDate="2025-07-12T00:00:00" count="7">
        <d v="2025-06-05T00:00:00"/>
        <d v="2025-06-12T00:00:00"/>
        <d v="2025-06-20T00:00:00"/>
        <d v="2025-06-25T00:00:00"/>
        <d v="2025-07-05T00:00:00"/>
        <d v="2025-07-10T00:00:00"/>
        <d v="2025-07-11T00:00:00"/>
      </sharedItems>
    </cacheField>
    <cacheField name="[calendario].[mes].[mes]" caption="mes" numFmtId="0" hierarchy="4" level="1">
      <sharedItems count="2">
        <s v="06"/>
        <s v="07"/>
      </sharedItems>
    </cacheField>
    <cacheField name="[calendario].[ano].[ano]" caption="ano" numFmtId="0" hierarchy="6" level="1">
      <sharedItems containsSemiMixedTypes="0" containsNonDate="0" containsString="0"/>
    </cacheField>
    <cacheField name="[Measures].[Soma de valorpago]" caption="Soma de valorpago" numFmtId="0" hierarchy="67" level="32767"/>
    <cacheField name="[Measures].[Soma de valordespesa]" caption="Soma de valordespesa" numFmtId="0" hierarchy="65" level="32767"/>
  </cacheFields>
  <cacheHierarchies count="72">
    <cacheHierarchy uniqueName="[calendario].[chavecalendario]" caption="chavecalendario" attribute="1" defaultMemberUniqueName="[calendario].[chavecalendario].[All]" allUniqueName="[calendario].[chavecalendario].[All]" dimensionUniqueName="[calendario]" displayFolder="" count="0" memberValueDatatype="130" unbalanced="0"/>
    <cacheHierarchy uniqueName="[calendario].[datacompleta]" caption="datacompleta" attribute="1" time="1" defaultMemberUniqueName="[calendario].[datacompleta].[All]" allUniqueName="[calendario].[datacompleta].[All]" dimensionUniqueName="[calendario]" displayFolder="" count="2" memberValueDatatype="7" unbalanced="0">
      <fieldsUsage count="2">
        <fieldUsage x="-1"/>
        <fieldUsage x="0"/>
      </fieldsUsage>
    </cacheHierarchy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130" unbalanced="0"/>
    <cacheHierarchy uniqueName="[calendario].[diames]" caption="diames" attribute="1" defaultMemberUniqueName="[calendario].[diames].[All]" allUniqueName="[calendario].[diames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20" unbalanced="0"/>
    <cacheHierarchy uniqueName="[calendario].[ano]" caption="ano" attribut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datacompleta (Ano)]" caption="datacompleta (Ano)" attribute="1" defaultMemberUniqueName="[calendario].[datacompleta (Ano)].[All]" allUniqueName="[calendario].[datacompleta (Ano)].[All]" dimensionUniqueName="[calendario]" displayFolder="" count="0" memberValueDatatype="130" unbalanced="0"/>
    <cacheHierarchy uniqueName="[calendario].[datacompleta (Trimestre)]" caption="datacompleta (Trimestre)" attribute="1" defaultMemberUniqueName="[calendario].[datacompleta (Trimestre)].[All]" allUniqueName="[calendario].[datacompleta (Trimestre)].[All]" dimensionUniqueName="[calendario]" displayFolder="" count="0" memberValueDatatype="130" unbalanced="0"/>
    <cacheHierarchy uniqueName="[calendario].[datacompleta (Mês)]" caption="datacompleta (Mês)" attribute="1" defaultMemberUniqueName="[calendario].[datacompleta (Mês)].[All]" allUniqueName="[calendario].[datacompleta (Mês)].[All]" dimensionUniqueName="[calendario]" displayFolder="" count="0" memberValueDatatype="130" unbalanced="0"/>
    <cacheHierarchy uniqueName="[fatodespesas].[tipodespesa]" caption="tipodespesa" attribute="1" defaultMemberUniqueName="[fatodespesas].[tipodespesa].[All]" allUniqueName="[fatodespesas].[tipodespesa].[All]" dimensionUniqueName="[fatodespesas]" displayFolder="" count="0" memberValueDatatype="130" unbalanced="0"/>
    <cacheHierarchy uniqueName="[fatodespesas].[descricaodespesa]" caption="descricaodespesa" attribute="1" defaultMemberUniqueName="[fatodespesas].[descricaodespesa].[All]" allUniqueName="[fatodespesas].[descricaodespesa].[All]" dimensionUniqueName="[fatodespesas]" displayFolder="" count="0" memberValueDatatype="130" unbalanced="0"/>
    <cacheHierarchy uniqueName="[fatodespesas].[valordespesa]" caption="valordespesa" attribute="1" defaultMemberUniqueName="[fatodespesas].[valordespesa].[All]" allUniqueName="[fatodespesas].[valordespesa].[All]" dimensionUniqueName="[fatodespesas]" displayFolder="" count="0" memberValueDatatype="5" unbalanced="0"/>
    <cacheHierarchy uniqueName="[fatodespesas].[valorliquido]" caption="valorliquido" attribute="1" defaultMemberUniqueName="[fatodespesas].[valorliquido].[All]" allUniqueName="[fatodespesas].[valorliquido].[All]" dimensionUniqueName="[fatodespesas]" displayFolder="" count="0" memberValueDatatype="5" unbalanced="0"/>
    <cacheHierarchy uniqueName="[fatodespesas].[valorimposto]" caption="valorimposto" attribute="1" defaultMemberUniqueName="[fatodespesas].[valorimposto].[All]" allUniqueName="[fatodespesas].[valorimposto].[All]" dimensionUniqueName="[fatodespesas]" displayFolder="" count="0" memberValueDatatype="5" unbalanced="0"/>
    <cacheHierarchy uniqueName="[fatodespesas].[ano]" caption="ano" attribute="1" defaultMemberUniqueName="[fatodespesas].[ano].[All]" allUniqueName="[fatodespesas].[ano].[All]" dimensionUniqueName="[fatodespesas]" displayFolder="" count="0" memberValueDatatype="20" unbalanced="0"/>
    <cacheHierarchy uniqueName="[fatodespesas].[datacompleta]" caption="datacompleta" attribute="1" time="1" defaultMemberUniqueName="[fatodespesas].[datacompleta].[All]" allUniqueName="[fatodespesas].[datacompleta].[All]" dimensionUniqueName="[fatodespesas]" displayFolder="" count="0" memberValueDatatype="7" unbalanced="0"/>
    <cacheHierarchy uniqueName="[fatodespesas].[mes]" caption="mes" attribute="1" defaultMemberUniqueName="[fatodespesas].[mes].[All]" allUniqueName="[fatodespesas].[mes].[All]" dimensionUniqueName="[fatodespesas]" displayFolder="" count="0" memberValueDatatype="130" unbalanced="0"/>
    <cacheHierarchy uniqueName="[fatodespesas].[trimestre]" caption="trimestre" attribute="1" defaultMemberUniqueName="[fatodespesas].[trimestre].[All]" allUniqueName="[fatodespesas].[trimestre].[All]" dimensionUniqueName="[fatodespesas]" displayFolder="" count="0" memberValueDatatype="20" unbalanced="0"/>
    <cacheHierarchy uniqueName="[fatodespesas].[nomefuncionario]" caption="nomefuncionario" attribute="1" defaultMemberUniqueName="[fatodespesas].[nomefuncionario].[All]" allUniqueName="[fatodespesas].[nomefuncionario].[All]" dimensionUniqueName="[fatodespesas]" displayFolder="" count="0" memberValueDatatype="130" unbalanced="0"/>
    <cacheHierarchy uniqueName="[fatodespesas].[categoriafuncionario]" caption="categoriafuncionario" attribute="1" defaultMemberUniqueName="[fatodespesas].[categoriafuncionario].[All]" allUniqueName="[fatodespesas].[categoriafuncionario].[All]" dimensionUniqueName="[fatodespesas]" displayFolder="" count="0" memberValueDatatype="130" unbalanced="0"/>
    <cacheHierarchy uniqueName="[fatodespesas].[placaveiculo]" caption="placaveiculo" attribute="1" defaultMemberUniqueName="[fatodespesas].[placaveiculo].[All]" allUniqueName="[fatodespesas].[placaveiculo].[All]" dimensionUniqueName="[fatodespesas]" displayFolder="" count="0" memberValueDatatype="130" unbalanced="0"/>
    <cacheHierarchy uniqueName="[fatodespesas].[tipoveiculo]" caption="tipoveiculo" attribute="1" defaultMemberUniqueName="[fatodespesas].[tipoveiculo].[All]" allUniqueName="[fatodespesas].[tipoveiculo].[All]" dimensionUniqueName="[fatodespesas]" displayFolder="" count="0" memberValueDatatype="130" unbalanced="0"/>
    <cacheHierarchy uniqueName="[fatoreceitas].[horapagamento]" caption="horapagamento" attribute="1" time="1" defaultMemberUniqueName="[fatoreceitas].[horapagamento].[All]" allUniqueName="[fatoreceitas].[horapagamento].[All]" dimensionUniqueName="[fatoreceitas]" displayFolder="" count="0" memberValueDatatype="7" unbalanced="0"/>
    <cacheHierarchy uniqueName="[fatoreceitas].[valorpago]" caption="valorpago" attribute="1" defaultMemberUniqueName="[fatoreceitas].[valorpago].[All]" allUniqueName="[fatoreceitas].[valorpago].[All]" dimensionUniqueName="[fatoreceitas]" displayFolder="" count="0" memberValueDatatype="5" unbalanced="0"/>
    <cacheHierarchy uniqueName="[fatoreceitas].[valortabela]" caption="valortabela" attribute="1" defaultMemberUniqueName="[fatoreceitas].[valortabela].[All]" allUniqueName="[fatoreceitas].[valortabela].[All]" dimensionUniqueName="[fatoreceitas]" displayFolder="" count="0" memberValueDatatype="5" unbalanced="0"/>
    <cacheHierarchy uniqueName="[fatoreceitas].[valordesconto]" caption="valordesconto" attribute="1" defaultMemberUniqueName="[fatoreceitas].[valordesconto].[All]" allUniqueName="[fatoreceitas].[valordesconto].[All]" dimensionUniqueName="[fatoreceitas]" displayFolder="" count="0" memberValueDatatype="5" unbalanced="0"/>
    <cacheHierarchy uniqueName="[fatoreceitas].[statusrota]" caption="statusrota" attribute="1" defaultMemberUniqueName="[fatoreceitas].[statusrota].[All]" allUniqueName="[fatoreceitas].[statusrota].[All]" dimensionUniqueName="[fatoreceitas]" displayFolder="" count="0" memberValueDatatype="130" unbalanced="0"/>
    <cacheHierarchy uniqueName="[fatoreceitas].[ano]" caption="ano" attribute="1" defaultMemberUniqueName="[fatoreceitas].[ano].[All]" allUniqueName="[fatoreceitas].[ano].[All]" dimensionUniqueName="[fatoreceitas]" displayFolder="" count="0" memberValueDatatype="20" unbalanced="0"/>
    <cacheHierarchy uniqueName="[fatoreceitas].[datacompleta]" caption="datacompleta" attribute="1" time="1" defaultMemberUniqueName="[fatoreceitas].[datacompleta].[All]" allUniqueName="[fatoreceitas].[datacompleta].[All]" dimensionUniqueName="[fatoreceitas]" displayFolder="" count="0" memberValueDatatype="7" unbalanced="0"/>
    <cacheHierarchy uniqueName="[fatoreceitas].[mes]" caption="mes" attribute="1" defaultMemberUniqueName="[fatoreceitas].[mes].[All]" allUniqueName="[fatoreceitas].[mes].[All]" dimensionUniqueName="[fatoreceitas]" displayFolder="" count="0" memberValueDatatype="130" unbalanced="0"/>
    <cacheHierarchy uniqueName="[fatoreceitas].[trimestre]" caption="trimestre" attribute="1" defaultMemberUniqueName="[fatoreceitas].[trimestre].[All]" allUniqueName="[fatoreceitas].[trimestre].[All]" dimensionUniqueName="[fatoreceitas]" displayFolder="" count="0" memberValueDatatype="20" unbalanced="0"/>
    <cacheHierarchy uniqueName="[fatoreceitas].[nomepassageiro]" caption="nomepassageiro" attribute="1" defaultMemberUniqueName="[fatoreceitas].[nomepassageiro].[All]" allUniqueName="[fatoreceitas].[nomepassageiro].[All]" dimensionUniqueName="[fatoreceitas]" displayFolder="" count="0" memberValueDatatype="130" unbalanced="0"/>
    <cacheHierarchy uniqueName="[fatoreceitas].[formapagamentopassageiro]" caption="formapagamentopassageiro" attribute="1" defaultMemberUniqueName="[fatoreceitas].[formapagamentopassageiro].[All]" allUniqueName="[fatoreceitas].[formapagamentopassageiro].[All]" dimensionUniqueName="[fatoreceitas]" displayFolder="" count="0" memberValueDatatype="130" unbalanced="0"/>
    <cacheHierarchy uniqueName="[fatoreceitas].[nomemotorista]" caption="nomemotorista" attribute="1" defaultMemberUniqueName="[fatoreceitas].[nomemotorista].[All]" allUniqueName="[fatoreceitas].[nomemotorista].[All]" dimensionUniqueName="[fatoreceitas]" displayFolder="" count="0" memberValueDatatype="130" unbalanced="0"/>
    <cacheHierarchy uniqueName="[fatoreceitas].[placaveiculo]" caption="placaveiculo" attribute="1" defaultMemberUniqueName="[fatoreceitas].[placaveiculo].[All]" allUniqueName="[fatoreceitas].[placaveiculo].[All]" dimensionUniqueName="[fatoreceitas]" displayFolder="" count="0" memberValueDatatype="130" unbalanced="0"/>
    <cacheHierarchy uniqueName="[fatoreceitas].[municipioorigem]" caption="municipioorigem" attribute="1" defaultMemberUniqueName="[fatoreceitas].[municipioorigem].[All]" allUniqueName="[fatoreceitas].[municipioorigem].[All]" dimensionUniqueName="[fatoreceitas]" displayFolder="" count="0" memberValueDatatype="130" unbalanced="0"/>
    <cacheHierarchy uniqueName="[fatoreceitas].[municipiodestino]" caption="municipiodestino" attribute="1" defaultMemberUniqueName="[fatoreceitas].[municipiodestino].[All]" allUniqueName="[fatoreceitas].[municipiodestino].[All]" dimensionUniqueName="[fatoreceitas]" displayFolder="" count="0" memberValueDatatype="130" unbalanced="0"/>
    <cacheHierarchy uniqueName="[fatorotas].[horainicio]" caption="horainicio" attribute="1" time="1" defaultMemberUniqueName="[fatorotas].[horainicio].[All]" allUniqueName="[fatorotas].[horainicio].[All]" dimensionUniqueName="[fatorotas]" displayFolder="" count="0" memberValueDatatype="7" unbalanced="0"/>
    <cacheHierarchy uniqueName="[fatorotas].[horafim]" caption="horafim" attribute="1" time="1" defaultMemberUniqueName="[fatorotas].[horafim].[All]" allUniqueName="[fatorotas].[horafim].[All]" dimensionUniqueName="[fatorotas]" displayFolder="" count="0" memberValueDatatype="7" unbalanced="0"/>
    <cacheHierarchy uniqueName="[fatorotas].[statusrota]" caption="statusrota" attribute="1" defaultMemberUniqueName="[fatorotas].[statusrota].[All]" allUniqueName="[fatorotas].[statusrota].[All]" dimensionUniqueName="[fatorotas]" displayFolder="" count="0" memberValueDatatype="130" unbalanced="0"/>
    <cacheHierarchy uniqueName="[fatorotas].[qtdpassageiros]" caption="qtdpassageiros" attribute="1" defaultMemberUniqueName="[fatorotas].[qtdpassageiros].[All]" allUniqueName="[fatorotas].[qtdpassageiros].[All]" dimensionUniqueName="[fatorotas]" displayFolder="" count="0" memberValueDatatype="20" unbalanced="0"/>
    <cacheHierarchy uniqueName="[fatorotas].[receitarota]" caption="receitarota" attribute="1" defaultMemberUniqueName="[fatorotas].[receitarota].[All]" allUniqueName="[fatorotas].[receitarota].[All]" dimensionUniqueName="[fatorotas]" displayFolder="" count="0" memberValueDatatype="5" unbalanced="0"/>
    <cacheHierarchy uniqueName="[fatorotas].[duracaominutos]" caption="duracaominutos" attribute="1" defaultMemberUniqueName="[fatorotas].[duracaominutos].[All]" allUniqueName="[fatorotas].[duracaominutos].[All]" dimensionUniqueName="[fatorotas]" displayFolder="" count="0" memberValueDatatype="20" unbalanced="0"/>
    <cacheHierarchy uniqueName="[fatorotas].[qtdavisosatraso]" caption="qtdavisosatraso" attribute="1" defaultMemberUniqueName="[fatorotas].[qtdavisosatraso].[All]" allUniqueName="[fatorotas].[qtdavisosatraso].[All]" dimensionUniqueName="[fatorotas]" displayFolder="" count="0" memberValueDatatype="20" unbalanced="0"/>
    <cacheHierarchy uniqueName="[fatorotas].[qtdavisoscancelamento]" caption="qtdavisoscancelamento" attribute="1" defaultMemberUniqueName="[fatorotas].[qtdavisoscancelamento].[All]" allUniqueName="[fatorotas].[qtdavisoscancelamento].[All]" dimensionUniqueName="[fatorotas]" displayFolder="" count="0" memberValueDatatype="20" unbalanced="0"/>
    <cacheHierarchy uniqueName="[fatorotas].[ano]" caption="ano" attribute="1" defaultMemberUniqueName="[fatorotas].[ano].[All]" allUniqueName="[fatorotas].[ano].[All]" dimensionUniqueName="[fatorotas]" displayFolder="" count="0" memberValueDatatype="20" unbalanced="0"/>
    <cacheHierarchy uniqueName="[fatorotas].[datacompleta]" caption="datacompleta" attribute="1" time="1" defaultMemberUniqueName="[fatorotas].[datacompleta].[All]" allUniqueName="[fatorotas].[datacompleta].[All]" dimensionUniqueName="[fatorotas]" displayFolder="" count="0" memberValueDatatype="7" unbalanced="0"/>
    <cacheHierarchy uniqueName="[fatorotas].[placaveiculo]" caption="placaveiculo" attribute="1" defaultMemberUniqueName="[fatorotas].[placaveiculo].[All]" allUniqueName="[fatorotas].[placaveiculo].[All]" dimensionUniqueName="[fatorotas]" displayFolder="" count="0" memberValueDatatype="130" unbalanced="0"/>
    <cacheHierarchy uniqueName="[fatorotas].[tipoveiculo]" caption="tipoveiculo" attribute="1" defaultMemberUniqueName="[fatorotas].[tipoveiculo].[All]" allUniqueName="[fatorotas].[tipoveiculo].[All]" dimensionUniqueName="[fatorotas]" displayFolder="" count="0" memberValueDatatype="130" unbalanced="0"/>
    <cacheHierarchy uniqueName="[fatorotas].[nomemotorista]" caption="nomemotorista" attribute="1" defaultMemberUniqueName="[fatorotas].[nomemotorista].[All]" allUniqueName="[fatorotas].[nomemotorista].[All]" dimensionUniqueName="[fatorotas]" displayFolder="" count="0" memberValueDatatype="130" unbalanced="0"/>
    <cacheHierarchy uniqueName="[fatosugestoes].[tiposugestao]" caption="tiposugestao" attribute="1" defaultMemberUniqueName="[fatosugestoes].[tiposugestao].[All]" allUniqueName="[fatosugestoes].[tiposugestao].[All]" dimensionUniqueName="[fatosugestoes]" displayFolder="" count="0" memberValueDatatype="130" unbalanced="0"/>
    <cacheHierarchy uniqueName="[fatosugestoes].[horaprevista]" caption="horaprevista" attribute="1" time="1" defaultMemberUniqueName="[fatosugestoes].[horaprevista].[All]" allUniqueName="[fatosugestoes].[horaprevista].[All]" dimensionUniqueName="[fatosugestoes]" displayFolder="" count="0" memberValueDatatype="7" unbalanced="0"/>
    <cacheHierarchy uniqueName="[fatosugestoes].[ano]" caption="ano" attribute="1" defaultMemberUniqueName="[fatosugestoes].[ano].[All]" allUniqueName="[fatosugestoes].[ano].[All]" dimensionUniqueName="[fatosugestoes]" displayFolder="" count="0" memberValueDatatype="20" unbalanced="0"/>
    <cacheHierarchy uniqueName="[fatosugestoes].[datacompleta]" caption="datacompleta" attribute="1" time="1" defaultMemberUniqueName="[fatosugestoes].[datacompleta].[All]" allUniqueName="[fatosugestoes].[datacompleta].[All]" dimensionUniqueName="[fatosugestoes]" displayFolder="" count="0" memberValueDatatype="7" unbalanced="0"/>
    <cacheHierarchy uniqueName="[fatosugestoes].[nomepassageiro]" caption="nomepassageiro" attribute="1" defaultMemberUniqueName="[fatosugestoes].[nomepassageiro].[All]" allUniqueName="[fatosugestoes].[nomepassageiro].[All]" dimensionUniqueName="[fatosugestoes]" displayFolder="" count="0" memberValueDatatype="130" unbalanced="0"/>
    <cacheHierarchy uniqueName="[fatosugestoes].[municipioendereco]" caption="municipioendereco" attribute="1" defaultMemberUniqueName="[fatosugestoes].[municipioendereco].[All]" allUniqueName="[fatosugestoes].[municipioendereco].[All]" dimensionUniqueName="[fatosugestoes]" displayFolder="" count="0" memberValueDatatype="130" unbalanced="0"/>
    <cacheHierarchy uniqueName="[fatosugestoes].[ufendereco]" caption="ufendereco" attribute="1" defaultMemberUniqueName="[fatosugestoes].[ufendereco].[All]" allUniqueName="[fatosugestoes].[ufendereco].[All]" dimensionUniqueName="[fatosugestoes]" displayFolder="" count="0" memberValueDatatype="130" unbalanced="0"/>
    <cacheHierarchy uniqueName="[calendario].[datacompleta (Índice de Mês)]" caption="datacompleta (Índice de Mês)" attribute="1" defaultMemberUniqueName="[calendario].[datacompleta (Índice de Mês)].[All]" allUniqueName="[calendario].[datacompleta (Índice de Mês)].[All]" dimensionUniqueName="[calendario]" displayFolder="" count="0" memberValueDatatype="20" unbalanced="0" hidden="1"/>
    <cacheHierarchy uniqueName="[Measures].[__XL_Count fatodespesas]" caption="__XL_Count fatodespesas" measure="1" displayFolder="" measureGroup="fatodespesas" count="0" hidden="1"/>
    <cacheHierarchy uniqueName="[Measures].[__XL_Count fatoreceitas]" caption="__XL_Count fatoreceitas" measure="1" displayFolder="" measureGroup="fatoreceitas" count="0" hidden="1"/>
    <cacheHierarchy uniqueName="[Measures].[__XL_Count fatorotas]" caption="__XL_Count fatorotas" measure="1" displayFolder="" measureGroup="fatorotas" count="0" hidden="1"/>
    <cacheHierarchy uniqueName="[Measures].[__XL_Count fatosugestoes]" caption="__XL_Count fatosugestoes" measure="1" displayFolder="" measureGroup="fatosugesto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fatodespesa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ano]" caption="Soma de ano" measure="1" displayFolder="" measureGroup="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valorpago]" caption="Soma de valorpago" measure="1" displayFolder="" measureGroup="fatorecei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tiposugestao]" caption="Contagem de tiposugestao" measure="1" displayFolder="" measureGroup="fatosugesto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ntagem de statusrota]" caption="Contagem de statusrota" measure="1" displayFolder="" measureGroup="fatorota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qtdavisosatraso]" caption="Soma de qtdavisosatraso" measure="1" displayFolder="" measureGroup="fatorot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tdavisoscancelamento]" caption="Soma de qtdavisoscancelamento" measure="1" displayFolder="" measureGroup="fatorota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6">
    <dimension name="calendario" uniqueName="[calendario]" caption="calendario"/>
    <dimension name="fatodespesas" uniqueName="[fatodespesas]" caption="fatodespesas"/>
    <dimension name="fatoreceitas" uniqueName="[fatoreceitas]" caption="fatoreceitas"/>
    <dimension name="fatorotas" uniqueName="[fatorotas]" caption="fatorotas"/>
    <dimension name="fatosugestoes" uniqueName="[fatosugestoes]" caption="fatosugestoes"/>
    <dimension measure="1" name="Measures" uniqueName="[Measures]" caption="Measures"/>
  </dimensions>
  <measureGroups count="5">
    <measureGroup name="calendario" caption="calendario"/>
    <measureGroup name="fatodespesas" caption="fatodespesas"/>
    <measureGroup name="fatoreceitas" caption="fatoreceitas"/>
    <measureGroup name="fatorotas" caption="fatorotas"/>
    <measureGroup name="fatosugestoes" caption="fatosugestoes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ainne Rohs" refreshedDate="46279.435637615738" backgroundQuery="1" createdVersion="8" refreshedVersion="8" minRefreshableVersion="3" recordCount="0" supportSubquery="1" supportAdvancedDrill="1" xr:uid="{76B63A4A-728E-4A59-BE67-223D7BB2F6AF}">
  <cacheSource type="external" connectionId="6"/>
  <cacheFields count="2">
    <cacheField name="[fatodespesas].[tipodespesa].[tipodespesa]" caption="tipodespesa" numFmtId="0" hierarchy="10" level="1">
      <sharedItems count="2">
        <s v="Manutencao Veiculo"/>
        <s v="Pagamento Funcionario"/>
      </sharedItems>
    </cacheField>
    <cacheField name="[Measures].[Soma de valordespesa]" caption="Soma de valordespesa" numFmtId="0" hierarchy="65" level="32767"/>
  </cacheFields>
  <cacheHierarchies count="72">
    <cacheHierarchy uniqueName="[calendario].[chavecalendario]" caption="chavecalendario" attribute="1" defaultMemberUniqueName="[calendario].[chavecalendario].[All]" allUniqueName="[calendario].[chavecalendario].[All]" dimensionUniqueName="[calendario]" displayFolder="" count="0" memberValueDatatype="130" unbalanced="0"/>
    <cacheHierarchy uniqueName="[calendario].[datacompleta]" caption="datacompleta" attribute="1" time="1" defaultMemberUniqueName="[calendario].[datacompleta].[All]" allUniqueName="[calendario].[datacompleta].[All]" dimensionUniqueName="[calendario]" displayFolder="" count="0" memberValueDatatype="7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130" unbalanced="0"/>
    <cacheHierarchy uniqueName="[calendario].[diames]" caption="diames" attribute="1" defaultMemberUniqueName="[calendario].[diames].[All]" allUniqueName="[calendario].[diames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20" unbalanced="0"/>
    <cacheHierarchy uniqueName="[calendario].[ano]" caption="ano" attribute="1" defaultMemberUniqueName="[calendario].[ano].[All]" allUniqueName="[calendario].[ano].[All]" dimensionUniqueName="[calendario]" displayFolder="" count="0" memberValueDatatype="20" unbalanced="0"/>
    <cacheHierarchy uniqueName="[calendario].[datacompleta (Ano)]" caption="datacompleta (Ano)" attribute="1" defaultMemberUniqueName="[calendario].[datacompleta (Ano)].[All]" allUniqueName="[calendario].[datacompleta (Ano)].[All]" dimensionUniqueName="[calendario]" displayFolder="" count="0" memberValueDatatype="130" unbalanced="0"/>
    <cacheHierarchy uniqueName="[calendario].[datacompleta (Trimestre)]" caption="datacompleta (Trimestre)" attribute="1" defaultMemberUniqueName="[calendario].[datacompleta (Trimestre)].[All]" allUniqueName="[calendario].[datacompleta (Trimestre)].[All]" dimensionUniqueName="[calendario]" displayFolder="" count="0" memberValueDatatype="130" unbalanced="0"/>
    <cacheHierarchy uniqueName="[calendario].[datacompleta (Mês)]" caption="datacompleta (Mês)" attribute="1" defaultMemberUniqueName="[calendario].[datacompleta (Mês)].[All]" allUniqueName="[calendario].[datacompleta (Mês)].[All]" dimensionUniqueName="[calendario]" displayFolder="" count="0" memberValueDatatype="130" unbalanced="0"/>
    <cacheHierarchy uniqueName="[fatodespesas].[tipodespesa]" caption="tipodespesa" attribute="1" defaultMemberUniqueName="[fatodespesas].[tipodespesa].[All]" allUniqueName="[fatodespesas].[tipodespesa].[All]" dimensionUniqueName="[fatodespesas]" displayFolder="" count="2" memberValueDatatype="130" unbalanced="0">
      <fieldsUsage count="2">
        <fieldUsage x="-1"/>
        <fieldUsage x="0"/>
      </fieldsUsage>
    </cacheHierarchy>
    <cacheHierarchy uniqueName="[fatodespesas].[descricaodespesa]" caption="descricaodespesa" attribute="1" defaultMemberUniqueName="[fatodespesas].[descricaodespesa].[All]" allUniqueName="[fatodespesas].[descricaodespesa].[All]" dimensionUniqueName="[fatodespesas]" displayFolder="" count="0" memberValueDatatype="130" unbalanced="0"/>
    <cacheHierarchy uniqueName="[fatodespesas].[valordespesa]" caption="valordespesa" attribute="1" defaultMemberUniqueName="[fatodespesas].[valordespesa].[All]" allUniqueName="[fatodespesas].[valordespesa].[All]" dimensionUniqueName="[fatodespesas]" displayFolder="" count="0" memberValueDatatype="5" unbalanced="0"/>
    <cacheHierarchy uniqueName="[fatodespesas].[valorliquido]" caption="valorliquido" attribute="1" defaultMemberUniqueName="[fatodespesas].[valorliquido].[All]" allUniqueName="[fatodespesas].[valorliquido].[All]" dimensionUniqueName="[fatodespesas]" displayFolder="" count="0" memberValueDatatype="5" unbalanced="0"/>
    <cacheHierarchy uniqueName="[fatodespesas].[valorimposto]" caption="valorimposto" attribute="1" defaultMemberUniqueName="[fatodespesas].[valorimposto].[All]" allUniqueName="[fatodespesas].[valorimposto].[All]" dimensionUniqueName="[fatodespesas]" displayFolder="" count="0" memberValueDatatype="5" unbalanced="0"/>
    <cacheHierarchy uniqueName="[fatodespesas].[ano]" caption="ano" attribute="1" defaultMemberUniqueName="[fatodespesas].[ano].[All]" allUniqueName="[fatodespesas].[ano].[All]" dimensionUniqueName="[fatodespesas]" displayFolder="" count="0" memberValueDatatype="20" unbalanced="0"/>
    <cacheHierarchy uniqueName="[fatodespesas].[datacompleta]" caption="datacompleta" attribute="1" time="1" defaultMemberUniqueName="[fatodespesas].[datacompleta].[All]" allUniqueName="[fatodespesas].[datacompleta].[All]" dimensionUniqueName="[fatodespesas]" displayFolder="" count="0" memberValueDatatype="7" unbalanced="0"/>
    <cacheHierarchy uniqueName="[fatodespesas].[mes]" caption="mes" attribute="1" defaultMemberUniqueName="[fatodespesas].[mes].[All]" allUniqueName="[fatodespesas].[mes].[All]" dimensionUniqueName="[fatodespesas]" displayFolder="" count="0" memberValueDatatype="130" unbalanced="0"/>
    <cacheHierarchy uniqueName="[fatodespesas].[trimestre]" caption="trimestre" attribute="1" defaultMemberUniqueName="[fatodespesas].[trimestre].[All]" allUniqueName="[fatodespesas].[trimestre].[All]" dimensionUniqueName="[fatodespesas]" displayFolder="" count="0" memberValueDatatype="20" unbalanced="0"/>
    <cacheHierarchy uniqueName="[fatodespesas].[nomefuncionario]" caption="nomefuncionario" attribute="1" defaultMemberUniqueName="[fatodespesas].[nomefuncionario].[All]" allUniqueName="[fatodespesas].[nomefuncionario].[All]" dimensionUniqueName="[fatodespesas]" displayFolder="" count="0" memberValueDatatype="130" unbalanced="0"/>
    <cacheHierarchy uniqueName="[fatodespesas].[categoriafuncionario]" caption="categoriafuncionario" attribute="1" defaultMemberUniqueName="[fatodespesas].[categoriafuncionario].[All]" allUniqueName="[fatodespesas].[categoriafuncionario].[All]" dimensionUniqueName="[fatodespesas]" displayFolder="" count="0" memberValueDatatype="130" unbalanced="0"/>
    <cacheHierarchy uniqueName="[fatodespesas].[placaveiculo]" caption="placaveiculo" attribute="1" defaultMemberUniqueName="[fatodespesas].[placaveiculo].[All]" allUniqueName="[fatodespesas].[placaveiculo].[All]" dimensionUniqueName="[fatodespesas]" displayFolder="" count="0" memberValueDatatype="130" unbalanced="0"/>
    <cacheHierarchy uniqueName="[fatodespesas].[tipoveiculo]" caption="tipoveiculo" attribute="1" defaultMemberUniqueName="[fatodespesas].[tipoveiculo].[All]" allUniqueName="[fatodespesas].[tipoveiculo].[All]" dimensionUniqueName="[fatodespesas]" displayFolder="" count="0" memberValueDatatype="130" unbalanced="0"/>
    <cacheHierarchy uniqueName="[fatoreceitas].[horapagamento]" caption="horapagamento" attribute="1" time="1" defaultMemberUniqueName="[fatoreceitas].[horapagamento].[All]" allUniqueName="[fatoreceitas].[horapagamento].[All]" dimensionUniqueName="[fatoreceitas]" displayFolder="" count="0" memberValueDatatype="7" unbalanced="0"/>
    <cacheHierarchy uniqueName="[fatoreceitas].[valorpago]" caption="valorpago" attribute="1" defaultMemberUniqueName="[fatoreceitas].[valorpago].[All]" allUniqueName="[fatoreceitas].[valorpago].[All]" dimensionUniqueName="[fatoreceitas]" displayFolder="" count="0" memberValueDatatype="5" unbalanced="0"/>
    <cacheHierarchy uniqueName="[fatoreceitas].[valortabela]" caption="valortabela" attribute="1" defaultMemberUniqueName="[fatoreceitas].[valortabela].[All]" allUniqueName="[fatoreceitas].[valortabela].[All]" dimensionUniqueName="[fatoreceitas]" displayFolder="" count="0" memberValueDatatype="5" unbalanced="0"/>
    <cacheHierarchy uniqueName="[fatoreceitas].[valordesconto]" caption="valordesconto" attribute="1" defaultMemberUniqueName="[fatoreceitas].[valordesconto].[All]" allUniqueName="[fatoreceitas].[valordesconto].[All]" dimensionUniqueName="[fatoreceitas]" displayFolder="" count="0" memberValueDatatype="5" unbalanced="0"/>
    <cacheHierarchy uniqueName="[fatoreceitas].[statusrota]" caption="statusrota" attribute="1" defaultMemberUniqueName="[fatoreceitas].[statusrota].[All]" allUniqueName="[fatoreceitas].[statusrota].[All]" dimensionUniqueName="[fatoreceitas]" displayFolder="" count="0" memberValueDatatype="130" unbalanced="0"/>
    <cacheHierarchy uniqueName="[fatoreceitas].[ano]" caption="ano" attribute="1" defaultMemberUniqueName="[fatoreceitas].[ano].[All]" allUniqueName="[fatoreceitas].[ano].[All]" dimensionUniqueName="[fatoreceitas]" displayFolder="" count="0" memberValueDatatype="20" unbalanced="0"/>
    <cacheHierarchy uniqueName="[fatoreceitas].[datacompleta]" caption="datacompleta" attribute="1" time="1" defaultMemberUniqueName="[fatoreceitas].[datacompleta].[All]" allUniqueName="[fatoreceitas].[datacompleta].[All]" dimensionUniqueName="[fatoreceitas]" displayFolder="" count="0" memberValueDatatype="7" unbalanced="0"/>
    <cacheHierarchy uniqueName="[fatoreceitas].[mes]" caption="mes" attribute="1" defaultMemberUniqueName="[fatoreceitas].[mes].[All]" allUniqueName="[fatoreceitas].[mes].[All]" dimensionUniqueName="[fatoreceitas]" displayFolder="" count="0" memberValueDatatype="130" unbalanced="0"/>
    <cacheHierarchy uniqueName="[fatoreceitas].[trimestre]" caption="trimestre" attribute="1" defaultMemberUniqueName="[fatoreceitas].[trimestre].[All]" allUniqueName="[fatoreceitas].[trimestre].[All]" dimensionUniqueName="[fatoreceitas]" displayFolder="" count="0" memberValueDatatype="20" unbalanced="0"/>
    <cacheHierarchy uniqueName="[fatoreceitas].[nomepassageiro]" caption="nomepassageiro" attribute="1" defaultMemberUniqueName="[fatoreceitas].[nomepassageiro].[All]" allUniqueName="[fatoreceitas].[nomepassageiro].[All]" dimensionUniqueName="[fatoreceitas]" displayFolder="" count="0" memberValueDatatype="130" unbalanced="0"/>
    <cacheHierarchy uniqueName="[fatoreceitas].[formapagamentopassageiro]" caption="formapagamentopassageiro" attribute="1" defaultMemberUniqueName="[fatoreceitas].[formapagamentopassageiro].[All]" allUniqueName="[fatoreceitas].[formapagamentopassageiro].[All]" dimensionUniqueName="[fatoreceitas]" displayFolder="" count="0" memberValueDatatype="130" unbalanced="0"/>
    <cacheHierarchy uniqueName="[fatoreceitas].[nomemotorista]" caption="nomemotorista" attribute="1" defaultMemberUniqueName="[fatoreceitas].[nomemotorista].[All]" allUniqueName="[fatoreceitas].[nomemotorista].[All]" dimensionUniqueName="[fatoreceitas]" displayFolder="" count="0" memberValueDatatype="130" unbalanced="0"/>
    <cacheHierarchy uniqueName="[fatoreceitas].[placaveiculo]" caption="placaveiculo" attribute="1" defaultMemberUniqueName="[fatoreceitas].[placaveiculo].[All]" allUniqueName="[fatoreceitas].[placaveiculo].[All]" dimensionUniqueName="[fatoreceitas]" displayFolder="" count="0" memberValueDatatype="130" unbalanced="0"/>
    <cacheHierarchy uniqueName="[fatoreceitas].[municipioorigem]" caption="municipioorigem" attribute="1" defaultMemberUniqueName="[fatoreceitas].[municipioorigem].[All]" allUniqueName="[fatoreceitas].[municipioorigem].[All]" dimensionUniqueName="[fatoreceitas]" displayFolder="" count="0" memberValueDatatype="130" unbalanced="0"/>
    <cacheHierarchy uniqueName="[fatoreceitas].[municipiodestino]" caption="municipiodestino" attribute="1" defaultMemberUniqueName="[fatoreceitas].[municipiodestino].[All]" allUniqueName="[fatoreceitas].[municipiodestino].[All]" dimensionUniqueName="[fatoreceitas]" displayFolder="" count="0" memberValueDatatype="130" unbalanced="0"/>
    <cacheHierarchy uniqueName="[fatorotas].[horainicio]" caption="horainicio" attribute="1" time="1" defaultMemberUniqueName="[fatorotas].[horainicio].[All]" allUniqueName="[fatorotas].[horainicio].[All]" dimensionUniqueName="[fatorotas]" displayFolder="" count="0" memberValueDatatype="7" unbalanced="0"/>
    <cacheHierarchy uniqueName="[fatorotas].[horafim]" caption="horafim" attribute="1" time="1" defaultMemberUniqueName="[fatorotas].[horafim].[All]" allUniqueName="[fatorotas].[horafim].[All]" dimensionUniqueName="[fatorotas]" displayFolder="" count="0" memberValueDatatype="7" unbalanced="0"/>
    <cacheHierarchy uniqueName="[fatorotas].[statusrota]" caption="statusrota" attribute="1" defaultMemberUniqueName="[fatorotas].[statusrota].[All]" allUniqueName="[fatorotas].[statusrota].[All]" dimensionUniqueName="[fatorotas]" displayFolder="" count="0" memberValueDatatype="130" unbalanced="0"/>
    <cacheHierarchy uniqueName="[fatorotas].[qtdpassageiros]" caption="qtdpassageiros" attribute="1" defaultMemberUniqueName="[fatorotas].[qtdpassageiros].[All]" allUniqueName="[fatorotas].[qtdpassageiros].[All]" dimensionUniqueName="[fatorotas]" displayFolder="" count="0" memberValueDatatype="20" unbalanced="0"/>
    <cacheHierarchy uniqueName="[fatorotas].[receitarota]" caption="receitarota" attribute="1" defaultMemberUniqueName="[fatorotas].[receitarota].[All]" allUniqueName="[fatorotas].[receitarota].[All]" dimensionUniqueName="[fatorotas]" displayFolder="" count="0" memberValueDatatype="5" unbalanced="0"/>
    <cacheHierarchy uniqueName="[fatorotas].[duracaominutos]" caption="duracaominutos" attribute="1" defaultMemberUniqueName="[fatorotas].[duracaominutos].[All]" allUniqueName="[fatorotas].[duracaominutos].[All]" dimensionUniqueName="[fatorotas]" displayFolder="" count="0" memberValueDatatype="20" unbalanced="0"/>
    <cacheHierarchy uniqueName="[fatorotas].[qtdavisosatraso]" caption="qtdavisosatraso" attribute="1" defaultMemberUniqueName="[fatorotas].[qtdavisosatraso].[All]" allUniqueName="[fatorotas].[qtdavisosatraso].[All]" dimensionUniqueName="[fatorotas]" displayFolder="" count="0" memberValueDatatype="20" unbalanced="0"/>
    <cacheHierarchy uniqueName="[fatorotas].[qtdavisoscancelamento]" caption="qtdavisoscancelamento" attribute="1" defaultMemberUniqueName="[fatorotas].[qtdavisoscancelamento].[All]" allUniqueName="[fatorotas].[qtdavisoscancelamento].[All]" dimensionUniqueName="[fatorotas]" displayFolder="" count="0" memberValueDatatype="20" unbalanced="0"/>
    <cacheHierarchy uniqueName="[fatorotas].[ano]" caption="ano" attribute="1" defaultMemberUniqueName="[fatorotas].[ano].[All]" allUniqueName="[fatorotas].[ano].[All]" dimensionUniqueName="[fatorotas]" displayFolder="" count="0" memberValueDatatype="20" unbalanced="0"/>
    <cacheHierarchy uniqueName="[fatorotas].[datacompleta]" caption="datacompleta" attribute="1" time="1" defaultMemberUniqueName="[fatorotas].[datacompleta].[All]" allUniqueName="[fatorotas].[datacompleta].[All]" dimensionUniqueName="[fatorotas]" displayFolder="" count="0" memberValueDatatype="7" unbalanced="0"/>
    <cacheHierarchy uniqueName="[fatorotas].[placaveiculo]" caption="placaveiculo" attribute="1" defaultMemberUniqueName="[fatorotas].[placaveiculo].[All]" allUniqueName="[fatorotas].[placaveiculo].[All]" dimensionUniqueName="[fatorotas]" displayFolder="" count="0" memberValueDatatype="130" unbalanced="0"/>
    <cacheHierarchy uniqueName="[fatorotas].[tipoveiculo]" caption="tipoveiculo" attribute="1" defaultMemberUniqueName="[fatorotas].[tipoveiculo].[All]" allUniqueName="[fatorotas].[tipoveiculo].[All]" dimensionUniqueName="[fatorotas]" displayFolder="" count="0" memberValueDatatype="130" unbalanced="0"/>
    <cacheHierarchy uniqueName="[fatorotas].[nomemotorista]" caption="nomemotorista" attribute="1" defaultMemberUniqueName="[fatorotas].[nomemotorista].[All]" allUniqueName="[fatorotas].[nomemotorista].[All]" dimensionUniqueName="[fatorotas]" displayFolder="" count="0" memberValueDatatype="130" unbalanced="0"/>
    <cacheHierarchy uniqueName="[fatosugestoes].[tiposugestao]" caption="tiposugestao" attribute="1" defaultMemberUniqueName="[fatosugestoes].[tiposugestao].[All]" allUniqueName="[fatosugestoes].[tiposugestao].[All]" dimensionUniqueName="[fatosugestoes]" displayFolder="" count="0" memberValueDatatype="130" unbalanced="0"/>
    <cacheHierarchy uniqueName="[fatosugestoes].[horaprevista]" caption="horaprevista" attribute="1" time="1" defaultMemberUniqueName="[fatosugestoes].[horaprevista].[All]" allUniqueName="[fatosugestoes].[horaprevista].[All]" dimensionUniqueName="[fatosugestoes]" displayFolder="" count="0" memberValueDatatype="7" unbalanced="0"/>
    <cacheHierarchy uniqueName="[fatosugestoes].[ano]" caption="ano" attribute="1" defaultMemberUniqueName="[fatosugestoes].[ano].[All]" allUniqueName="[fatosugestoes].[ano].[All]" dimensionUniqueName="[fatosugestoes]" displayFolder="" count="0" memberValueDatatype="20" unbalanced="0"/>
    <cacheHierarchy uniqueName="[fatosugestoes].[datacompleta]" caption="datacompleta" attribute="1" time="1" defaultMemberUniqueName="[fatosugestoes].[datacompleta].[All]" allUniqueName="[fatosugestoes].[datacompleta].[All]" dimensionUniqueName="[fatosugestoes]" displayFolder="" count="0" memberValueDatatype="7" unbalanced="0"/>
    <cacheHierarchy uniqueName="[fatosugestoes].[nomepassageiro]" caption="nomepassageiro" attribute="1" defaultMemberUniqueName="[fatosugestoes].[nomepassageiro].[All]" allUniqueName="[fatosugestoes].[nomepassageiro].[All]" dimensionUniqueName="[fatosugestoes]" displayFolder="" count="0" memberValueDatatype="130" unbalanced="0"/>
    <cacheHierarchy uniqueName="[fatosugestoes].[municipioendereco]" caption="municipioendereco" attribute="1" defaultMemberUniqueName="[fatosugestoes].[municipioendereco].[All]" allUniqueName="[fatosugestoes].[municipioendereco].[All]" dimensionUniqueName="[fatosugestoes]" displayFolder="" count="0" memberValueDatatype="130" unbalanced="0"/>
    <cacheHierarchy uniqueName="[fatosugestoes].[ufendereco]" caption="ufendereco" attribute="1" defaultMemberUniqueName="[fatosugestoes].[ufendereco].[All]" allUniqueName="[fatosugestoes].[ufendereco].[All]" dimensionUniqueName="[fatosugestoes]" displayFolder="" count="0" memberValueDatatype="130" unbalanced="0"/>
    <cacheHierarchy uniqueName="[calendario].[datacompleta (Índice de Mês)]" caption="datacompleta (Índice de Mês)" attribute="1" defaultMemberUniqueName="[calendario].[datacompleta (Índice de Mês)].[All]" allUniqueName="[calendario].[datacompleta (Índice de Mês)].[All]" dimensionUniqueName="[calendario]" displayFolder="" count="0" memberValueDatatype="20" unbalanced="0" hidden="1"/>
    <cacheHierarchy uniqueName="[Measures].[__XL_Count fatodespesas]" caption="__XL_Count fatodespesas" measure="1" displayFolder="" measureGroup="fatodespesas" count="0" hidden="1"/>
    <cacheHierarchy uniqueName="[Measures].[__XL_Count fatoreceitas]" caption="__XL_Count fatoreceitas" measure="1" displayFolder="" measureGroup="fatoreceitas" count="0" hidden="1"/>
    <cacheHierarchy uniqueName="[Measures].[__XL_Count fatorotas]" caption="__XL_Count fatorotas" measure="1" displayFolder="" measureGroup="fatorotas" count="0" hidden="1"/>
    <cacheHierarchy uniqueName="[Measures].[__XL_Count fatosugestoes]" caption="__XL_Count fatosugestoes" measure="1" displayFolder="" measureGroup="fatosugesto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fatodespes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ano]" caption="Soma de ano" measure="1" displayFolder="" measureGroup="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valorpago]" caption="Soma de valorpago" measure="1" displayFolder="" measureGroup="fatorecei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tiposugestao]" caption="Contagem de tiposugestao" measure="1" displayFolder="" measureGroup="fatosugesto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ntagem de statusrota]" caption="Contagem de statusrota" measure="1" displayFolder="" measureGroup="fatorota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qtdavisosatraso]" caption="Soma de qtdavisosatraso" measure="1" displayFolder="" measureGroup="fatorot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tdavisoscancelamento]" caption="Soma de qtdavisoscancelamento" measure="1" displayFolder="" measureGroup="fatorota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6">
    <dimension name="calendario" uniqueName="[calendario]" caption="calendario"/>
    <dimension name="fatodespesas" uniqueName="[fatodespesas]" caption="fatodespesas"/>
    <dimension name="fatoreceitas" uniqueName="[fatoreceitas]" caption="fatoreceitas"/>
    <dimension name="fatorotas" uniqueName="[fatorotas]" caption="fatorotas"/>
    <dimension name="fatosugestoes" uniqueName="[fatosugestoes]" caption="fatosugestoes"/>
    <dimension measure="1" name="Measures" uniqueName="[Measures]" caption="Measures"/>
  </dimensions>
  <measureGroups count="5">
    <measureGroup name="calendario" caption="calendario"/>
    <measureGroup name="fatodespesas" caption="fatodespesas"/>
    <measureGroup name="fatoreceitas" caption="fatoreceitas"/>
    <measureGroup name="fatorotas" caption="fatorotas"/>
    <measureGroup name="fatosugestoes" caption="fatosugestoes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ainne Rohs" refreshedDate="46279.454299189812" backgroundQuery="1" createdVersion="8" refreshedVersion="8" minRefreshableVersion="3" recordCount="0" supportSubquery="1" supportAdvancedDrill="1" xr:uid="{D43E7CB9-C3D6-4275-BDB5-9A0701CCE94B}">
  <cacheSource type="external" connectionId="6"/>
  <cacheFields count="3">
    <cacheField name="[fatosugestoes].[municipioendereco].[municipioendereco]" caption="municipioendereco" numFmtId="0" hierarchy="56" level="1">
      <sharedItems count="2">
        <s v="Niteroi"/>
        <s v="Rio de Janeiro"/>
      </sharedItems>
    </cacheField>
    <cacheField name="[fatosugestoes].[tiposugestao].[tiposugestao]" caption="tiposugestao" numFmtId="0" hierarchy="51" level="1">
      <sharedItems count="2">
        <s v="Destino"/>
        <s v="Origem"/>
      </sharedItems>
    </cacheField>
    <cacheField name="[Measures].[Contagem de tiposugestao]" caption="Contagem de tiposugestao" numFmtId="0" hierarchy="68" level="32767"/>
  </cacheFields>
  <cacheHierarchies count="72">
    <cacheHierarchy uniqueName="[calendario].[chavecalendario]" caption="chavecalendario" attribute="1" defaultMemberUniqueName="[calendario].[chavecalendario].[All]" allUniqueName="[calendario].[chavecalendario].[All]" dimensionUniqueName="[calendario]" displayFolder="" count="0" memberValueDatatype="130" unbalanced="0"/>
    <cacheHierarchy uniqueName="[calendario].[datacompleta]" caption="datacompleta" attribute="1" time="1" defaultMemberUniqueName="[calendario].[datacompleta].[All]" allUniqueName="[calendario].[datacompleta].[All]" dimensionUniqueName="[calendario]" displayFolder="" count="0" memberValueDatatype="7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130" unbalanced="0"/>
    <cacheHierarchy uniqueName="[calendario].[diames]" caption="diames" attribute="1" defaultMemberUniqueName="[calendario].[diames].[All]" allUniqueName="[calendario].[diames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20" unbalanced="0"/>
    <cacheHierarchy uniqueName="[calendario].[ano]" caption="ano" attribute="1" defaultMemberUniqueName="[calendario].[ano].[All]" allUniqueName="[calendario].[ano].[All]" dimensionUniqueName="[calendario]" displayFolder="" count="0" memberValueDatatype="20" unbalanced="0"/>
    <cacheHierarchy uniqueName="[calendario].[datacompleta (Ano)]" caption="datacompleta (Ano)" attribute="1" defaultMemberUniqueName="[calendario].[datacompleta (Ano)].[All]" allUniqueName="[calendario].[datacompleta (Ano)].[All]" dimensionUniqueName="[calendario]" displayFolder="" count="0" memberValueDatatype="130" unbalanced="0"/>
    <cacheHierarchy uniqueName="[calendario].[datacompleta (Trimestre)]" caption="datacompleta (Trimestre)" attribute="1" defaultMemberUniqueName="[calendario].[datacompleta (Trimestre)].[All]" allUniqueName="[calendario].[datacompleta (Trimestre)].[All]" dimensionUniqueName="[calendario]" displayFolder="" count="0" memberValueDatatype="130" unbalanced="0"/>
    <cacheHierarchy uniqueName="[calendario].[datacompleta (Mês)]" caption="datacompleta (Mês)" attribute="1" defaultMemberUniqueName="[calendario].[datacompleta (Mês)].[All]" allUniqueName="[calendario].[datacompleta (Mês)].[All]" dimensionUniqueName="[calendario]" displayFolder="" count="0" memberValueDatatype="130" unbalanced="0"/>
    <cacheHierarchy uniqueName="[fatodespesas].[tipodespesa]" caption="tipodespesa" attribute="1" defaultMemberUniqueName="[fatodespesas].[tipodespesa].[All]" allUniqueName="[fatodespesas].[tipodespesa].[All]" dimensionUniqueName="[fatodespesas]" displayFolder="" count="0" memberValueDatatype="130" unbalanced="0"/>
    <cacheHierarchy uniqueName="[fatodespesas].[descricaodespesa]" caption="descricaodespesa" attribute="1" defaultMemberUniqueName="[fatodespesas].[descricaodespesa].[All]" allUniqueName="[fatodespesas].[descricaodespesa].[All]" dimensionUniqueName="[fatodespesas]" displayFolder="" count="0" memberValueDatatype="130" unbalanced="0"/>
    <cacheHierarchy uniqueName="[fatodespesas].[valordespesa]" caption="valordespesa" attribute="1" defaultMemberUniqueName="[fatodespesas].[valordespesa].[All]" allUniqueName="[fatodespesas].[valordespesa].[All]" dimensionUniqueName="[fatodespesas]" displayFolder="" count="0" memberValueDatatype="5" unbalanced="0"/>
    <cacheHierarchy uniqueName="[fatodespesas].[valorliquido]" caption="valorliquido" attribute="1" defaultMemberUniqueName="[fatodespesas].[valorliquido].[All]" allUniqueName="[fatodespesas].[valorliquido].[All]" dimensionUniqueName="[fatodespesas]" displayFolder="" count="0" memberValueDatatype="5" unbalanced="0"/>
    <cacheHierarchy uniqueName="[fatodespesas].[valorimposto]" caption="valorimposto" attribute="1" defaultMemberUniqueName="[fatodespesas].[valorimposto].[All]" allUniqueName="[fatodespesas].[valorimposto].[All]" dimensionUniqueName="[fatodespesas]" displayFolder="" count="0" memberValueDatatype="5" unbalanced="0"/>
    <cacheHierarchy uniqueName="[fatodespesas].[ano]" caption="ano" attribute="1" defaultMemberUniqueName="[fatodespesas].[ano].[All]" allUniqueName="[fatodespesas].[ano].[All]" dimensionUniqueName="[fatodespesas]" displayFolder="" count="0" memberValueDatatype="20" unbalanced="0"/>
    <cacheHierarchy uniqueName="[fatodespesas].[datacompleta]" caption="datacompleta" attribute="1" time="1" defaultMemberUniqueName="[fatodespesas].[datacompleta].[All]" allUniqueName="[fatodespesas].[datacompleta].[All]" dimensionUniqueName="[fatodespesas]" displayFolder="" count="0" memberValueDatatype="7" unbalanced="0"/>
    <cacheHierarchy uniqueName="[fatodespesas].[mes]" caption="mes" attribute="1" defaultMemberUniqueName="[fatodespesas].[mes].[All]" allUniqueName="[fatodespesas].[mes].[All]" dimensionUniqueName="[fatodespesas]" displayFolder="" count="0" memberValueDatatype="130" unbalanced="0"/>
    <cacheHierarchy uniqueName="[fatodespesas].[trimestre]" caption="trimestre" attribute="1" defaultMemberUniqueName="[fatodespesas].[trimestre].[All]" allUniqueName="[fatodespesas].[trimestre].[All]" dimensionUniqueName="[fatodespesas]" displayFolder="" count="0" memberValueDatatype="20" unbalanced="0"/>
    <cacheHierarchy uniqueName="[fatodespesas].[nomefuncionario]" caption="nomefuncionario" attribute="1" defaultMemberUniqueName="[fatodespesas].[nomefuncionario].[All]" allUniqueName="[fatodespesas].[nomefuncionario].[All]" dimensionUniqueName="[fatodespesas]" displayFolder="" count="0" memberValueDatatype="130" unbalanced="0"/>
    <cacheHierarchy uniqueName="[fatodespesas].[categoriafuncionario]" caption="categoriafuncionario" attribute="1" defaultMemberUniqueName="[fatodespesas].[categoriafuncionario].[All]" allUniqueName="[fatodespesas].[categoriafuncionario].[All]" dimensionUniqueName="[fatodespesas]" displayFolder="" count="0" memberValueDatatype="130" unbalanced="0"/>
    <cacheHierarchy uniqueName="[fatodespesas].[placaveiculo]" caption="placaveiculo" attribute="1" defaultMemberUniqueName="[fatodespesas].[placaveiculo].[All]" allUniqueName="[fatodespesas].[placaveiculo].[All]" dimensionUniqueName="[fatodespesas]" displayFolder="" count="0" memberValueDatatype="130" unbalanced="0"/>
    <cacheHierarchy uniqueName="[fatodespesas].[tipoveiculo]" caption="tipoveiculo" attribute="1" defaultMemberUniqueName="[fatodespesas].[tipoveiculo].[All]" allUniqueName="[fatodespesas].[tipoveiculo].[All]" dimensionUniqueName="[fatodespesas]" displayFolder="" count="0" memberValueDatatype="130" unbalanced="0"/>
    <cacheHierarchy uniqueName="[fatoreceitas].[horapagamento]" caption="horapagamento" attribute="1" time="1" defaultMemberUniqueName="[fatoreceitas].[horapagamento].[All]" allUniqueName="[fatoreceitas].[horapagamento].[All]" dimensionUniqueName="[fatoreceitas]" displayFolder="" count="0" memberValueDatatype="7" unbalanced="0"/>
    <cacheHierarchy uniqueName="[fatoreceitas].[valorpago]" caption="valorpago" attribute="1" defaultMemberUniqueName="[fatoreceitas].[valorpago].[All]" allUniqueName="[fatoreceitas].[valorpago].[All]" dimensionUniqueName="[fatoreceitas]" displayFolder="" count="0" memberValueDatatype="5" unbalanced="0"/>
    <cacheHierarchy uniqueName="[fatoreceitas].[valortabela]" caption="valortabela" attribute="1" defaultMemberUniqueName="[fatoreceitas].[valortabela].[All]" allUniqueName="[fatoreceitas].[valortabela].[All]" dimensionUniqueName="[fatoreceitas]" displayFolder="" count="0" memberValueDatatype="5" unbalanced="0"/>
    <cacheHierarchy uniqueName="[fatoreceitas].[valordesconto]" caption="valordesconto" attribute="1" defaultMemberUniqueName="[fatoreceitas].[valordesconto].[All]" allUniqueName="[fatoreceitas].[valordesconto].[All]" dimensionUniqueName="[fatoreceitas]" displayFolder="" count="0" memberValueDatatype="5" unbalanced="0"/>
    <cacheHierarchy uniqueName="[fatoreceitas].[statusrota]" caption="statusrota" attribute="1" defaultMemberUniqueName="[fatoreceitas].[statusrota].[All]" allUniqueName="[fatoreceitas].[statusrota].[All]" dimensionUniqueName="[fatoreceitas]" displayFolder="" count="0" memberValueDatatype="130" unbalanced="0"/>
    <cacheHierarchy uniqueName="[fatoreceitas].[ano]" caption="ano" attribute="1" defaultMemberUniqueName="[fatoreceitas].[ano].[All]" allUniqueName="[fatoreceitas].[ano].[All]" dimensionUniqueName="[fatoreceitas]" displayFolder="" count="0" memberValueDatatype="20" unbalanced="0"/>
    <cacheHierarchy uniqueName="[fatoreceitas].[datacompleta]" caption="datacompleta" attribute="1" time="1" defaultMemberUniqueName="[fatoreceitas].[datacompleta].[All]" allUniqueName="[fatoreceitas].[datacompleta].[All]" dimensionUniqueName="[fatoreceitas]" displayFolder="" count="0" memberValueDatatype="7" unbalanced="0"/>
    <cacheHierarchy uniqueName="[fatoreceitas].[mes]" caption="mes" attribute="1" defaultMemberUniqueName="[fatoreceitas].[mes].[All]" allUniqueName="[fatoreceitas].[mes].[All]" dimensionUniqueName="[fatoreceitas]" displayFolder="" count="0" memberValueDatatype="130" unbalanced="0"/>
    <cacheHierarchy uniqueName="[fatoreceitas].[trimestre]" caption="trimestre" attribute="1" defaultMemberUniqueName="[fatoreceitas].[trimestre].[All]" allUniqueName="[fatoreceitas].[trimestre].[All]" dimensionUniqueName="[fatoreceitas]" displayFolder="" count="0" memberValueDatatype="20" unbalanced="0"/>
    <cacheHierarchy uniqueName="[fatoreceitas].[nomepassageiro]" caption="nomepassageiro" attribute="1" defaultMemberUniqueName="[fatoreceitas].[nomepassageiro].[All]" allUniqueName="[fatoreceitas].[nomepassageiro].[All]" dimensionUniqueName="[fatoreceitas]" displayFolder="" count="0" memberValueDatatype="130" unbalanced="0"/>
    <cacheHierarchy uniqueName="[fatoreceitas].[formapagamentopassageiro]" caption="formapagamentopassageiro" attribute="1" defaultMemberUniqueName="[fatoreceitas].[formapagamentopassageiro].[All]" allUniqueName="[fatoreceitas].[formapagamentopassageiro].[All]" dimensionUniqueName="[fatoreceitas]" displayFolder="" count="0" memberValueDatatype="130" unbalanced="0"/>
    <cacheHierarchy uniqueName="[fatoreceitas].[nomemotorista]" caption="nomemotorista" attribute="1" defaultMemberUniqueName="[fatoreceitas].[nomemotorista].[All]" allUniqueName="[fatoreceitas].[nomemotorista].[All]" dimensionUniqueName="[fatoreceitas]" displayFolder="" count="0" memberValueDatatype="130" unbalanced="0"/>
    <cacheHierarchy uniqueName="[fatoreceitas].[placaveiculo]" caption="placaveiculo" attribute="1" defaultMemberUniqueName="[fatoreceitas].[placaveiculo].[All]" allUniqueName="[fatoreceitas].[placaveiculo].[All]" dimensionUniqueName="[fatoreceitas]" displayFolder="" count="0" memberValueDatatype="130" unbalanced="0"/>
    <cacheHierarchy uniqueName="[fatoreceitas].[municipioorigem]" caption="municipioorigem" attribute="1" defaultMemberUniqueName="[fatoreceitas].[municipioorigem].[All]" allUniqueName="[fatoreceitas].[municipioorigem].[All]" dimensionUniqueName="[fatoreceitas]" displayFolder="" count="0" memberValueDatatype="130" unbalanced="0"/>
    <cacheHierarchy uniqueName="[fatoreceitas].[municipiodestino]" caption="municipiodestino" attribute="1" defaultMemberUniqueName="[fatoreceitas].[municipiodestino].[All]" allUniqueName="[fatoreceitas].[municipiodestino].[All]" dimensionUniqueName="[fatoreceitas]" displayFolder="" count="0" memberValueDatatype="130" unbalanced="0"/>
    <cacheHierarchy uniqueName="[fatorotas].[horainicio]" caption="horainicio" attribute="1" time="1" defaultMemberUniqueName="[fatorotas].[horainicio].[All]" allUniqueName="[fatorotas].[horainicio].[All]" dimensionUniqueName="[fatorotas]" displayFolder="" count="0" memberValueDatatype="7" unbalanced="0"/>
    <cacheHierarchy uniqueName="[fatorotas].[horafim]" caption="horafim" attribute="1" time="1" defaultMemberUniqueName="[fatorotas].[horafim].[All]" allUniqueName="[fatorotas].[horafim].[All]" dimensionUniqueName="[fatorotas]" displayFolder="" count="0" memberValueDatatype="7" unbalanced="0"/>
    <cacheHierarchy uniqueName="[fatorotas].[statusrota]" caption="statusrota" attribute="1" defaultMemberUniqueName="[fatorotas].[statusrota].[All]" allUniqueName="[fatorotas].[statusrota].[All]" dimensionUniqueName="[fatorotas]" displayFolder="" count="0" memberValueDatatype="130" unbalanced="0"/>
    <cacheHierarchy uniqueName="[fatorotas].[qtdpassageiros]" caption="qtdpassageiros" attribute="1" defaultMemberUniqueName="[fatorotas].[qtdpassageiros].[All]" allUniqueName="[fatorotas].[qtdpassageiros].[All]" dimensionUniqueName="[fatorotas]" displayFolder="" count="0" memberValueDatatype="20" unbalanced="0"/>
    <cacheHierarchy uniqueName="[fatorotas].[receitarota]" caption="receitarota" attribute="1" defaultMemberUniqueName="[fatorotas].[receitarota].[All]" allUniqueName="[fatorotas].[receitarota].[All]" dimensionUniqueName="[fatorotas]" displayFolder="" count="0" memberValueDatatype="5" unbalanced="0"/>
    <cacheHierarchy uniqueName="[fatorotas].[duracaominutos]" caption="duracaominutos" attribute="1" defaultMemberUniqueName="[fatorotas].[duracaominutos].[All]" allUniqueName="[fatorotas].[duracaominutos].[All]" dimensionUniqueName="[fatorotas]" displayFolder="" count="0" memberValueDatatype="20" unbalanced="0"/>
    <cacheHierarchy uniqueName="[fatorotas].[qtdavisosatraso]" caption="qtdavisosatraso" attribute="1" defaultMemberUniqueName="[fatorotas].[qtdavisosatraso].[All]" allUniqueName="[fatorotas].[qtdavisosatraso].[All]" dimensionUniqueName="[fatorotas]" displayFolder="" count="0" memberValueDatatype="20" unbalanced="0"/>
    <cacheHierarchy uniqueName="[fatorotas].[qtdavisoscancelamento]" caption="qtdavisoscancelamento" attribute="1" defaultMemberUniqueName="[fatorotas].[qtdavisoscancelamento].[All]" allUniqueName="[fatorotas].[qtdavisoscancelamento].[All]" dimensionUniqueName="[fatorotas]" displayFolder="" count="0" memberValueDatatype="20" unbalanced="0"/>
    <cacheHierarchy uniqueName="[fatorotas].[ano]" caption="ano" attribute="1" defaultMemberUniqueName="[fatorotas].[ano].[All]" allUniqueName="[fatorotas].[ano].[All]" dimensionUniqueName="[fatorotas]" displayFolder="" count="0" memberValueDatatype="20" unbalanced="0"/>
    <cacheHierarchy uniqueName="[fatorotas].[datacompleta]" caption="datacompleta" attribute="1" time="1" defaultMemberUniqueName="[fatorotas].[datacompleta].[All]" allUniqueName="[fatorotas].[datacompleta].[All]" dimensionUniqueName="[fatorotas]" displayFolder="" count="0" memberValueDatatype="7" unbalanced="0"/>
    <cacheHierarchy uniqueName="[fatorotas].[placaveiculo]" caption="placaveiculo" attribute="1" defaultMemberUniqueName="[fatorotas].[placaveiculo].[All]" allUniqueName="[fatorotas].[placaveiculo].[All]" dimensionUniqueName="[fatorotas]" displayFolder="" count="0" memberValueDatatype="130" unbalanced="0"/>
    <cacheHierarchy uniqueName="[fatorotas].[tipoveiculo]" caption="tipoveiculo" attribute="1" defaultMemberUniqueName="[fatorotas].[tipoveiculo].[All]" allUniqueName="[fatorotas].[tipoveiculo].[All]" dimensionUniqueName="[fatorotas]" displayFolder="" count="0" memberValueDatatype="130" unbalanced="0"/>
    <cacheHierarchy uniqueName="[fatorotas].[nomemotorista]" caption="nomemotorista" attribute="1" defaultMemberUniqueName="[fatorotas].[nomemotorista].[All]" allUniqueName="[fatorotas].[nomemotorista].[All]" dimensionUniqueName="[fatorotas]" displayFolder="" count="0" memberValueDatatype="130" unbalanced="0"/>
    <cacheHierarchy uniqueName="[fatosugestoes].[tiposugestao]" caption="tiposugestao" attribute="1" defaultMemberUniqueName="[fatosugestoes].[tiposugestao].[All]" allUniqueName="[fatosugestoes].[tiposugestao].[All]" dimensionUniqueName="[fatosugestoes]" displayFolder="" count="2" memberValueDatatype="130" unbalanced="0">
      <fieldsUsage count="2">
        <fieldUsage x="-1"/>
        <fieldUsage x="1"/>
      </fieldsUsage>
    </cacheHierarchy>
    <cacheHierarchy uniqueName="[fatosugestoes].[horaprevista]" caption="horaprevista" attribute="1" time="1" defaultMemberUniqueName="[fatosugestoes].[horaprevista].[All]" allUniqueName="[fatosugestoes].[horaprevista].[All]" dimensionUniqueName="[fatosugestoes]" displayFolder="" count="0" memberValueDatatype="7" unbalanced="0"/>
    <cacheHierarchy uniqueName="[fatosugestoes].[ano]" caption="ano" attribute="1" defaultMemberUniqueName="[fatosugestoes].[ano].[All]" allUniqueName="[fatosugestoes].[ano].[All]" dimensionUniqueName="[fatosugestoes]" displayFolder="" count="0" memberValueDatatype="20" unbalanced="0"/>
    <cacheHierarchy uniqueName="[fatosugestoes].[datacompleta]" caption="datacompleta" attribute="1" time="1" defaultMemberUniqueName="[fatosugestoes].[datacompleta].[All]" allUniqueName="[fatosugestoes].[datacompleta].[All]" dimensionUniqueName="[fatosugestoes]" displayFolder="" count="0" memberValueDatatype="7" unbalanced="0"/>
    <cacheHierarchy uniqueName="[fatosugestoes].[nomepassageiro]" caption="nomepassageiro" attribute="1" defaultMemberUniqueName="[fatosugestoes].[nomepassageiro].[All]" allUniqueName="[fatosugestoes].[nomepassageiro].[All]" dimensionUniqueName="[fatosugestoes]" displayFolder="" count="0" memberValueDatatype="130" unbalanced="0"/>
    <cacheHierarchy uniqueName="[fatosugestoes].[municipioendereco]" caption="municipioendereco" attribute="1" defaultMemberUniqueName="[fatosugestoes].[municipioendereco].[All]" allUniqueName="[fatosugestoes].[municipioendereco].[All]" dimensionUniqueName="[fatosugestoes]" displayFolder="" count="2" memberValueDatatype="130" unbalanced="0">
      <fieldsUsage count="2">
        <fieldUsage x="-1"/>
        <fieldUsage x="0"/>
      </fieldsUsage>
    </cacheHierarchy>
    <cacheHierarchy uniqueName="[fatosugestoes].[ufendereco]" caption="ufendereco" attribute="1" defaultMemberUniqueName="[fatosugestoes].[ufendereco].[All]" allUniqueName="[fatosugestoes].[ufendereco].[All]" dimensionUniqueName="[fatosugestoes]" displayFolder="" count="0" memberValueDatatype="130" unbalanced="0"/>
    <cacheHierarchy uniqueName="[calendario].[datacompleta (Índice de Mês)]" caption="datacompleta (Índice de Mês)" attribute="1" defaultMemberUniqueName="[calendario].[datacompleta (Índice de Mês)].[All]" allUniqueName="[calendario].[datacompleta (Índice de Mês)].[All]" dimensionUniqueName="[calendario]" displayFolder="" count="0" memberValueDatatype="20" unbalanced="0" hidden="1"/>
    <cacheHierarchy uniqueName="[Measures].[__XL_Count fatodespesas]" caption="__XL_Count fatodespesas" measure="1" displayFolder="" measureGroup="fatodespesas" count="0" hidden="1"/>
    <cacheHierarchy uniqueName="[Measures].[__XL_Count fatoreceitas]" caption="__XL_Count fatoreceitas" measure="1" displayFolder="" measureGroup="fatoreceitas" count="0" hidden="1"/>
    <cacheHierarchy uniqueName="[Measures].[__XL_Count fatorotas]" caption="__XL_Count fatorotas" measure="1" displayFolder="" measureGroup="fatorotas" count="0" hidden="1"/>
    <cacheHierarchy uniqueName="[Measures].[__XL_Count fatosugestoes]" caption="__XL_Count fatosugestoes" measure="1" displayFolder="" measureGroup="fatosugesto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fatodespes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ano]" caption="Soma de ano" measure="1" displayFolder="" measureGroup="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valorpago]" caption="Soma de valorpago" measure="1" displayFolder="" measureGroup="fatorecei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tiposugestao]" caption="Contagem de tiposugestao" measure="1" displayFolder="" measureGroup="fatosugesto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ntagem de statusrota]" caption="Contagem de statusrota" measure="1" displayFolder="" measureGroup="fatorota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qtdavisosatraso]" caption="Soma de qtdavisosatraso" measure="1" displayFolder="" measureGroup="fatorot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tdavisoscancelamento]" caption="Soma de qtdavisoscancelamento" measure="1" displayFolder="" measureGroup="fatorota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6">
    <dimension name="calendario" uniqueName="[calendario]" caption="calendario"/>
    <dimension name="fatodespesas" uniqueName="[fatodespesas]" caption="fatodespesas"/>
    <dimension name="fatoreceitas" uniqueName="[fatoreceitas]" caption="fatoreceitas"/>
    <dimension name="fatorotas" uniqueName="[fatorotas]" caption="fatorotas"/>
    <dimension name="fatosugestoes" uniqueName="[fatosugestoes]" caption="fatosugestoes"/>
    <dimension measure="1" name="Measures" uniqueName="[Measures]" caption="Measures"/>
  </dimensions>
  <measureGroups count="5">
    <measureGroup name="calendario" caption="calendario"/>
    <measureGroup name="fatodespesas" caption="fatodespesas"/>
    <measureGroup name="fatoreceitas" caption="fatoreceitas"/>
    <measureGroup name="fatorotas" caption="fatorotas"/>
    <measureGroup name="fatosugestoes" caption="fatosugestoes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ainne Rohs" refreshedDate="46279.494131018517" backgroundQuery="1" createdVersion="8" refreshedVersion="8" minRefreshableVersion="3" recordCount="0" supportSubquery="1" supportAdvancedDrill="1" xr:uid="{679FB851-BDF5-48DD-B5B2-20E4E7E740B4}">
  <cacheSource type="external" connectionId="6"/>
  <cacheFields count="4">
    <cacheField name="[fatorotas].[nomemotorista].[nomemotorista]" caption="nomemotorista" numFmtId="0" hierarchy="50" level="1">
      <sharedItems count="2">
        <s v="Bruno Lima"/>
        <s v="Carla Dias"/>
      </sharedItems>
    </cacheField>
    <cacheField name="[Measures].[Contagem de statusrota]" caption="Contagem de statusrota" numFmtId="0" hierarchy="69" level="32767"/>
    <cacheField name="[Measures].[Soma de qtdavisosatraso]" caption="Soma de qtdavisosatraso" numFmtId="0" hierarchy="70" level="32767"/>
    <cacheField name="[Measures].[Soma de qtdavisoscancelamento]" caption="Soma de qtdavisoscancelamento" numFmtId="0" hierarchy="71" level="32767"/>
  </cacheFields>
  <cacheHierarchies count="72">
    <cacheHierarchy uniqueName="[calendario].[chavecalendario]" caption="chavecalendario" attribute="1" defaultMemberUniqueName="[calendario].[chavecalendario].[All]" allUniqueName="[calendario].[chavecalendario].[All]" dimensionUniqueName="[calendario]" displayFolder="" count="0" memberValueDatatype="130" unbalanced="0"/>
    <cacheHierarchy uniqueName="[calendario].[datacompleta]" caption="datacompleta" attribute="1" time="1" defaultMemberUniqueName="[calendario].[datacompleta].[All]" allUniqueName="[calendario].[datacompleta].[All]" dimensionUniqueName="[calendario]" displayFolder="" count="0" memberValueDatatype="7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130" unbalanced="0"/>
    <cacheHierarchy uniqueName="[calendario].[diames]" caption="diames" attribute="1" defaultMemberUniqueName="[calendario].[diames].[All]" allUniqueName="[calendario].[diames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20" unbalanced="0"/>
    <cacheHierarchy uniqueName="[calendario].[ano]" caption="ano" attribute="1" defaultMemberUniqueName="[calendario].[ano].[All]" allUniqueName="[calendario].[ano].[All]" dimensionUniqueName="[calendario]" displayFolder="" count="0" memberValueDatatype="20" unbalanced="0"/>
    <cacheHierarchy uniqueName="[calendario].[datacompleta (Ano)]" caption="datacompleta (Ano)" attribute="1" defaultMemberUniqueName="[calendario].[datacompleta (Ano)].[All]" allUniqueName="[calendario].[datacompleta (Ano)].[All]" dimensionUniqueName="[calendario]" displayFolder="" count="0" memberValueDatatype="130" unbalanced="0"/>
    <cacheHierarchy uniqueName="[calendario].[datacompleta (Trimestre)]" caption="datacompleta (Trimestre)" attribute="1" defaultMemberUniqueName="[calendario].[datacompleta (Trimestre)].[All]" allUniqueName="[calendario].[datacompleta (Trimestre)].[All]" dimensionUniqueName="[calendario]" displayFolder="" count="0" memberValueDatatype="130" unbalanced="0"/>
    <cacheHierarchy uniqueName="[calendario].[datacompleta (Mês)]" caption="datacompleta (Mês)" attribute="1" defaultMemberUniqueName="[calendario].[datacompleta (Mês)].[All]" allUniqueName="[calendario].[datacompleta (Mês)].[All]" dimensionUniqueName="[calendario]" displayFolder="" count="0" memberValueDatatype="130" unbalanced="0"/>
    <cacheHierarchy uniqueName="[fatodespesas].[tipodespesa]" caption="tipodespesa" attribute="1" defaultMemberUniqueName="[fatodespesas].[tipodespesa].[All]" allUniqueName="[fatodespesas].[tipodespesa].[All]" dimensionUniqueName="[fatodespesas]" displayFolder="" count="0" memberValueDatatype="130" unbalanced="0"/>
    <cacheHierarchy uniqueName="[fatodespesas].[descricaodespesa]" caption="descricaodespesa" attribute="1" defaultMemberUniqueName="[fatodespesas].[descricaodespesa].[All]" allUniqueName="[fatodespesas].[descricaodespesa].[All]" dimensionUniqueName="[fatodespesas]" displayFolder="" count="0" memberValueDatatype="130" unbalanced="0"/>
    <cacheHierarchy uniqueName="[fatodespesas].[valordespesa]" caption="valordespesa" attribute="1" defaultMemberUniqueName="[fatodespesas].[valordespesa].[All]" allUniqueName="[fatodespesas].[valordespesa].[All]" dimensionUniqueName="[fatodespesas]" displayFolder="" count="0" memberValueDatatype="5" unbalanced="0"/>
    <cacheHierarchy uniqueName="[fatodespesas].[valorliquido]" caption="valorliquido" attribute="1" defaultMemberUniqueName="[fatodespesas].[valorliquido].[All]" allUniqueName="[fatodespesas].[valorliquido].[All]" dimensionUniqueName="[fatodespesas]" displayFolder="" count="0" memberValueDatatype="5" unbalanced="0"/>
    <cacheHierarchy uniqueName="[fatodespesas].[valorimposto]" caption="valorimposto" attribute="1" defaultMemberUniqueName="[fatodespesas].[valorimposto].[All]" allUniqueName="[fatodespesas].[valorimposto].[All]" dimensionUniqueName="[fatodespesas]" displayFolder="" count="0" memberValueDatatype="5" unbalanced="0"/>
    <cacheHierarchy uniqueName="[fatodespesas].[ano]" caption="ano" attribute="1" defaultMemberUniqueName="[fatodespesas].[ano].[All]" allUniqueName="[fatodespesas].[ano].[All]" dimensionUniqueName="[fatodespesas]" displayFolder="" count="0" memberValueDatatype="20" unbalanced="0"/>
    <cacheHierarchy uniqueName="[fatodespesas].[datacompleta]" caption="datacompleta" attribute="1" time="1" defaultMemberUniqueName="[fatodespesas].[datacompleta].[All]" allUniqueName="[fatodespesas].[datacompleta].[All]" dimensionUniqueName="[fatodespesas]" displayFolder="" count="0" memberValueDatatype="7" unbalanced="0"/>
    <cacheHierarchy uniqueName="[fatodespesas].[mes]" caption="mes" attribute="1" defaultMemberUniqueName="[fatodespesas].[mes].[All]" allUniqueName="[fatodespesas].[mes].[All]" dimensionUniqueName="[fatodespesas]" displayFolder="" count="0" memberValueDatatype="130" unbalanced="0"/>
    <cacheHierarchy uniqueName="[fatodespesas].[trimestre]" caption="trimestre" attribute="1" defaultMemberUniqueName="[fatodespesas].[trimestre].[All]" allUniqueName="[fatodespesas].[trimestre].[All]" dimensionUniqueName="[fatodespesas]" displayFolder="" count="0" memberValueDatatype="20" unbalanced="0"/>
    <cacheHierarchy uniqueName="[fatodespesas].[nomefuncionario]" caption="nomefuncionario" attribute="1" defaultMemberUniqueName="[fatodespesas].[nomefuncionario].[All]" allUniqueName="[fatodespesas].[nomefuncionario].[All]" dimensionUniqueName="[fatodespesas]" displayFolder="" count="0" memberValueDatatype="130" unbalanced="0"/>
    <cacheHierarchy uniqueName="[fatodespesas].[categoriafuncionario]" caption="categoriafuncionario" attribute="1" defaultMemberUniqueName="[fatodespesas].[categoriafuncionario].[All]" allUniqueName="[fatodespesas].[categoriafuncionario].[All]" dimensionUniqueName="[fatodespesas]" displayFolder="" count="0" memberValueDatatype="130" unbalanced="0"/>
    <cacheHierarchy uniqueName="[fatodespesas].[placaveiculo]" caption="placaveiculo" attribute="1" defaultMemberUniqueName="[fatodespesas].[placaveiculo].[All]" allUniqueName="[fatodespesas].[placaveiculo].[All]" dimensionUniqueName="[fatodespesas]" displayFolder="" count="0" memberValueDatatype="130" unbalanced="0"/>
    <cacheHierarchy uniqueName="[fatodespesas].[tipoveiculo]" caption="tipoveiculo" attribute="1" defaultMemberUniqueName="[fatodespesas].[tipoveiculo].[All]" allUniqueName="[fatodespesas].[tipoveiculo].[All]" dimensionUniqueName="[fatodespesas]" displayFolder="" count="0" memberValueDatatype="130" unbalanced="0"/>
    <cacheHierarchy uniqueName="[fatoreceitas].[horapagamento]" caption="horapagamento" attribute="1" time="1" defaultMemberUniqueName="[fatoreceitas].[horapagamento].[All]" allUniqueName="[fatoreceitas].[horapagamento].[All]" dimensionUniqueName="[fatoreceitas]" displayFolder="" count="0" memberValueDatatype="7" unbalanced="0"/>
    <cacheHierarchy uniqueName="[fatoreceitas].[valorpago]" caption="valorpago" attribute="1" defaultMemberUniqueName="[fatoreceitas].[valorpago].[All]" allUniqueName="[fatoreceitas].[valorpago].[All]" dimensionUniqueName="[fatoreceitas]" displayFolder="" count="0" memberValueDatatype="5" unbalanced="0"/>
    <cacheHierarchy uniqueName="[fatoreceitas].[valortabela]" caption="valortabela" attribute="1" defaultMemberUniqueName="[fatoreceitas].[valortabela].[All]" allUniqueName="[fatoreceitas].[valortabela].[All]" dimensionUniqueName="[fatoreceitas]" displayFolder="" count="0" memberValueDatatype="5" unbalanced="0"/>
    <cacheHierarchy uniqueName="[fatoreceitas].[valordesconto]" caption="valordesconto" attribute="1" defaultMemberUniqueName="[fatoreceitas].[valordesconto].[All]" allUniqueName="[fatoreceitas].[valordesconto].[All]" dimensionUniqueName="[fatoreceitas]" displayFolder="" count="0" memberValueDatatype="5" unbalanced="0"/>
    <cacheHierarchy uniqueName="[fatoreceitas].[statusrota]" caption="statusrota" attribute="1" defaultMemberUniqueName="[fatoreceitas].[statusrota].[All]" allUniqueName="[fatoreceitas].[statusrota].[All]" dimensionUniqueName="[fatoreceitas]" displayFolder="" count="0" memberValueDatatype="130" unbalanced="0"/>
    <cacheHierarchy uniqueName="[fatoreceitas].[ano]" caption="ano" attribute="1" defaultMemberUniqueName="[fatoreceitas].[ano].[All]" allUniqueName="[fatoreceitas].[ano].[All]" dimensionUniqueName="[fatoreceitas]" displayFolder="" count="0" memberValueDatatype="20" unbalanced="0"/>
    <cacheHierarchy uniqueName="[fatoreceitas].[datacompleta]" caption="datacompleta" attribute="1" time="1" defaultMemberUniqueName="[fatoreceitas].[datacompleta].[All]" allUniqueName="[fatoreceitas].[datacompleta].[All]" dimensionUniqueName="[fatoreceitas]" displayFolder="" count="0" memberValueDatatype="7" unbalanced="0"/>
    <cacheHierarchy uniqueName="[fatoreceitas].[mes]" caption="mes" attribute="1" defaultMemberUniqueName="[fatoreceitas].[mes].[All]" allUniqueName="[fatoreceitas].[mes].[All]" dimensionUniqueName="[fatoreceitas]" displayFolder="" count="0" memberValueDatatype="130" unbalanced="0"/>
    <cacheHierarchy uniqueName="[fatoreceitas].[trimestre]" caption="trimestre" attribute="1" defaultMemberUniqueName="[fatoreceitas].[trimestre].[All]" allUniqueName="[fatoreceitas].[trimestre].[All]" dimensionUniqueName="[fatoreceitas]" displayFolder="" count="0" memberValueDatatype="20" unbalanced="0"/>
    <cacheHierarchy uniqueName="[fatoreceitas].[nomepassageiro]" caption="nomepassageiro" attribute="1" defaultMemberUniqueName="[fatoreceitas].[nomepassageiro].[All]" allUniqueName="[fatoreceitas].[nomepassageiro].[All]" dimensionUniqueName="[fatoreceitas]" displayFolder="" count="0" memberValueDatatype="130" unbalanced="0"/>
    <cacheHierarchy uniqueName="[fatoreceitas].[formapagamentopassageiro]" caption="formapagamentopassageiro" attribute="1" defaultMemberUniqueName="[fatoreceitas].[formapagamentopassageiro].[All]" allUniqueName="[fatoreceitas].[formapagamentopassageiro].[All]" dimensionUniqueName="[fatoreceitas]" displayFolder="" count="0" memberValueDatatype="130" unbalanced="0"/>
    <cacheHierarchy uniqueName="[fatoreceitas].[nomemotorista]" caption="nomemotorista" attribute="1" defaultMemberUniqueName="[fatoreceitas].[nomemotorista].[All]" allUniqueName="[fatoreceitas].[nomemotorista].[All]" dimensionUniqueName="[fatoreceitas]" displayFolder="" count="0" memberValueDatatype="130" unbalanced="0"/>
    <cacheHierarchy uniqueName="[fatoreceitas].[placaveiculo]" caption="placaveiculo" attribute="1" defaultMemberUniqueName="[fatoreceitas].[placaveiculo].[All]" allUniqueName="[fatoreceitas].[placaveiculo].[All]" dimensionUniqueName="[fatoreceitas]" displayFolder="" count="0" memberValueDatatype="130" unbalanced="0"/>
    <cacheHierarchy uniqueName="[fatoreceitas].[municipioorigem]" caption="municipioorigem" attribute="1" defaultMemberUniqueName="[fatoreceitas].[municipioorigem].[All]" allUniqueName="[fatoreceitas].[municipioorigem].[All]" dimensionUniqueName="[fatoreceitas]" displayFolder="" count="0" memberValueDatatype="130" unbalanced="0"/>
    <cacheHierarchy uniqueName="[fatoreceitas].[municipiodestino]" caption="municipiodestino" attribute="1" defaultMemberUniqueName="[fatoreceitas].[municipiodestino].[All]" allUniqueName="[fatoreceitas].[municipiodestino].[All]" dimensionUniqueName="[fatoreceitas]" displayFolder="" count="0" memberValueDatatype="130" unbalanced="0"/>
    <cacheHierarchy uniqueName="[fatorotas].[horainicio]" caption="horainicio" attribute="1" time="1" defaultMemberUniqueName="[fatorotas].[horainicio].[All]" allUniqueName="[fatorotas].[horainicio].[All]" dimensionUniqueName="[fatorotas]" displayFolder="" count="0" memberValueDatatype="7" unbalanced="0"/>
    <cacheHierarchy uniqueName="[fatorotas].[horafim]" caption="horafim" attribute="1" time="1" defaultMemberUniqueName="[fatorotas].[horafim].[All]" allUniqueName="[fatorotas].[horafim].[All]" dimensionUniqueName="[fatorotas]" displayFolder="" count="0" memberValueDatatype="7" unbalanced="0"/>
    <cacheHierarchy uniqueName="[fatorotas].[statusrota]" caption="statusrota" attribute="1" defaultMemberUniqueName="[fatorotas].[statusrota].[All]" allUniqueName="[fatorotas].[statusrota].[All]" dimensionUniqueName="[fatorotas]" displayFolder="" count="0" memberValueDatatype="130" unbalanced="0"/>
    <cacheHierarchy uniqueName="[fatorotas].[qtdpassageiros]" caption="qtdpassageiros" attribute="1" defaultMemberUniqueName="[fatorotas].[qtdpassageiros].[All]" allUniqueName="[fatorotas].[qtdpassageiros].[All]" dimensionUniqueName="[fatorotas]" displayFolder="" count="0" memberValueDatatype="20" unbalanced="0"/>
    <cacheHierarchy uniqueName="[fatorotas].[receitarota]" caption="receitarota" attribute="1" defaultMemberUniqueName="[fatorotas].[receitarota].[All]" allUniqueName="[fatorotas].[receitarota].[All]" dimensionUniqueName="[fatorotas]" displayFolder="" count="0" memberValueDatatype="5" unbalanced="0"/>
    <cacheHierarchy uniqueName="[fatorotas].[duracaominutos]" caption="duracaominutos" attribute="1" defaultMemberUniqueName="[fatorotas].[duracaominutos].[All]" allUniqueName="[fatorotas].[duracaominutos].[All]" dimensionUniqueName="[fatorotas]" displayFolder="" count="0" memberValueDatatype="20" unbalanced="0"/>
    <cacheHierarchy uniqueName="[fatorotas].[qtdavisosatraso]" caption="qtdavisosatraso" attribute="1" defaultMemberUniqueName="[fatorotas].[qtdavisosatraso].[All]" allUniqueName="[fatorotas].[qtdavisosatraso].[All]" dimensionUniqueName="[fatorotas]" displayFolder="" count="0" memberValueDatatype="20" unbalanced="0"/>
    <cacheHierarchy uniqueName="[fatorotas].[qtdavisoscancelamento]" caption="qtdavisoscancelamento" attribute="1" defaultMemberUniqueName="[fatorotas].[qtdavisoscancelamento].[All]" allUniqueName="[fatorotas].[qtdavisoscancelamento].[All]" dimensionUniqueName="[fatorotas]" displayFolder="" count="0" memberValueDatatype="20" unbalanced="0"/>
    <cacheHierarchy uniqueName="[fatorotas].[ano]" caption="ano" attribute="1" defaultMemberUniqueName="[fatorotas].[ano].[All]" allUniqueName="[fatorotas].[ano].[All]" dimensionUniqueName="[fatorotas]" displayFolder="" count="0" memberValueDatatype="20" unbalanced="0"/>
    <cacheHierarchy uniqueName="[fatorotas].[datacompleta]" caption="datacompleta" attribute="1" time="1" defaultMemberUniqueName="[fatorotas].[datacompleta].[All]" allUniqueName="[fatorotas].[datacompleta].[All]" dimensionUniqueName="[fatorotas]" displayFolder="" count="0" memberValueDatatype="7" unbalanced="0"/>
    <cacheHierarchy uniqueName="[fatorotas].[placaveiculo]" caption="placaveiculo" attribute="1" defaultMemberUniqueName="[fatorotas].[placaveiculo].[All]" allUniqueName="[fatorotas].[placaveiculo].[All]" dimensionUniqueName="[fatorotas]" displayFolder="" count="0" memberValueDatatype="130" unbalanced="0"/>
    <cacheHierarchy uniqueName="[fatorotas].[tipoveiculo]" caption="tipoveiculo" attribute="1" defaultMemberUniqueName="[fatorotas].[tipoveiculo].[All]" allUniqueName="[fatorotas].[tipoveiculo].[All]" dimensionUniqueName="[fatorotas]" displayFolder="" count="0" memberValueDatatype="130" unbalanced="0"/>
    <cacheHierarchy uniqueName="[fatorotas].[nomemotorista]" caption="nomemotorista" attribute="1" defaultMemberUniqueName="[fatorotas].[nomemotorista].[All]" allUniqueName="[fatorotas].[nomemotorista].[All]" dimensionUniqueName="[fatorotas]" displayFolder="" count="2" memberValueDatatype="130" unbalanced="0">
      <fieldsUsage count="2">
        <fieldUsage x="-1"/>
        <fieldUsage x="0"/>
      </fieldsUsage>
    </cacheHierarchy>
    <cacheHierarchy uniqueName="[fatosugestoes].[tiposugestao]" caption="tiposugestao" attribute="1" defaultMemberUniqueName="[fatosugestoes].[tiposugestao].[All]" allUniqueName="[fatosugestoes].[tiposugestao].[All]" dimensionUniqueName="[fatosugestoes]" displayFolder="" count="0" memberValueDatatype="130" unbalanced="0"/>
    <cacheHierarchy uniqueName="[fatosugestoes].[horaprevista]" caption="horaprevista" attribute="1" time="1" defaultMemberUniqueName="[fatosugestoes].[horaprevista].[All]" allUniqueName="[fatosugestoes].[horaprevista].[All]" dimensionUniqueName="[fatosugestoes]" displayFolder="" count="0" memberValueDatatype="7" unbalanced="0"/>
    <cacheHierarchy uniqueName="[fatosugestoes].[ano]" caption="ano" attribute="1" defaultMemberUniqueName="[fatosugestoes].[ano].[All]" allUniqueName="[fatosugestoes].[ano].[All]" dimensionUniqueName="[fatosugestoes]" displayFolder="" count="0" memberValueDatatype="20" unbalanced="0"/>
    <cacheHierarchy uniqueName="[fatosugestoes].[datacompleta]" caption="datacompleta" attribute="1" time="1" defaultMemberUniqueName="[fatosugestoes].[datacompleta].[All]" allUniqueName="[fatosugestoes].[datacompleta].[All]" dimensionUniqueName="[fatosugestoes]" displayFolder="" count="0" memberValueDatatype="7" unbalanced="0"/>
    <cacheHierarchy uniqueName="[fatosugestoes].[nomepassageiro]" caption="nomepassageiro" attribute="1" defaultMemberUniqueName="[fatosugestoes].[nomepassageiro].[All]" allUniqueName="[fatosugestoes].[nomepassageiro].[All]" dimensionUniqueName="[fatosugestoes]" displayFolder="" count="0" memberValueDatatype="130" unbalanced="0"/>
    <cacheHierarchy uniqueName="[fatosugestoes].[municipioendereco]" caption="municipioendereco" attribute="1" defaultMemberUniqueName="[fatosugestoes].[municipioendereco].[All]" allUniqueName="[fatosugestoes].[municipioendereco].[All]" dimensionUniqueName="[fatosugestoes]" displayFolder="" count="0" memberValueDatatype="130" unbalanced="0"/>
    <cacheHierarchy uniqueName="[fatosugestoes].[ufendereco]" caption="ufendereco" attribute="1" defaultMemberUniqueName="[fatosugestoes].[ufendereco].[All]" allUniqueName="[fatosugestoes].[ufendereco].[All]" dimensionUniqueName="[fatosugestoes]" displayFolder="" count="0" memberValueDatatype="130" unbalanced="0"/>
    <cacheHierarchy uniqueName="[calendario].[datacompleta (Índice de Mês)]" caption="datacompleta (Índice de Mês)" attribute="1" defaultMemberUniqueName="[calendario].[datacompleta (Índice de Mês)].[All]" allUniqueName="[calendario].[datacompleta (Índice de Mês)].[All]" dimensionUniqueName="[calendario]" displayFolder="" count="0" memberValueDatatype="20" unbalanced="0" hidden="1"/>
    <cacheHierarchy uniqueName="[Measures].[__XL_Count fatodespesas]" caption="__XL_Count fatodespesas" measure="1" displayFolder="" measureGroup="fatodespesas" count="0" hidden="1"/>
    <cacheHierarchy uniqueName="[Measures].[__XL_Count fatoreceitas]" caption="__XL_Count fatoreceitas" measure="1" displayFolder="" measureGroup="fatoreceitas" count="0" hidden="1"/>
    <cacheHierarchy uniqueName="[Measures].[__XL_Count fatorotas]" caption="__XL_Count fatorotas" measure="1" displayFolder="" measureGroup="fatorotas" count="0" hidden="1"/>
    <cacheHierarchy uniqueName="[Measures].[__XL_Count fatosugestoes]" caption="__XL_Count fatosugestoes" measure="1" displayFolder="" measureGroup="fatosugesto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fatodespes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ano]" caption="Soma de ano" measure="1" displayFolder="" measureGroup="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valorpago]" caption="Soma de valorpago" measure="1" displayFolder="" measureGroup="fatoreceit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tiposugestao]" caption="Contagem de tiposugestao" measure="1" displayFolder="" measureGroup="fatosugesto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ntagem de statusrota]" caption="Contagem de statusrota" measure="1" displayFolder="" measureGroup="fator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qtdavisosatraso]" caption="Soma de qtdavisosatraso" measure="1" displayFolder="" measureGroup="fatoro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tdavisoscancelamento]" caption="Soma de qtdavisoscancelamento" measure="1" displayFolder="" measureGroup="fatoro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6">
    <dimension name="calendario" uniqueName="[calendario]" caption="calendario"/>
    <dimension name="fatodespesas" uniqueName="[fatodespesas]" caption="fatodespesas"/>
    <dimension name="fatoreceitas" uniqueName="[fatoreceitas]" caption="fatoreceitas"/>
    <dimension name="fatorotas" uniqueName="[fatorotas]" caption="fatorotas"/>
    <dimension name="fatosugestoes" uniqueName="[fatosugestoes]" caption="fatosugestoes"/>
    <dimension measure="1" name="Measures" uniqueName="[Measures]" caption="Measures"/>
  </dimensions>
  <measureGroups count="5">
    <measureGroup name="calendario" caption="calendario"/>
    <measureGroup name="fatodespesas" caption="fatodespesas"/>
    <measureGroup name="fatoreceitas" caption="fatoreceitas"/>
    <measureGroup name="fatorotas" caption="fatorotas"/>
    <measureGroup name="fatosugestoes" caption="fatosugestoes"/>
  </measureGroups>
  <maps count="7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A4B72-48AF-4205-B4CE-932B1697ABBB}" name="Tabela dinâmica2" cacheId="18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C9:E12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2">
    <field x="1"/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6" name="[calendario].[ano].[All]" cap="All"/>
  </pageFields>
  <dataFields count="2">
    <dataField name="Soma de valorpago" fld="3" baseField="0" baseItem="0"/>
    <dataField name="Soma de valordespesa" fld="4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fatoreceitas]"/>
        <x15:activeTabTopLevelEntity name="[fatodespes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C82F3-45C0-4C01-9718-3D9433A25258}" name="Tabela dinâmica1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6:F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valordespesa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fatodespesas">
        <x15:activeTabTopLevelEntity name="[fatodespes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C8EB7-72D3-4DA2-B99F-0E0BAD96E812}" name="Tabela dinâmica3" cacheId="18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3">
  <location ref="C6:F10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tiposugestao" fld="2" subtotal="count" baseField="0" baseItem="0"/>
  </dataFields>
  <chartFormats count="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6"/>
  </rowHierarchiesUsage>
  <colHierarchiesUsage count="1">
    <colHierarchyUsage hierarchyUsage="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fatosugestoes">
        <x15:activeTabTopLevelEntity name="[fatosugesto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562D3-10F1-4C40-8C4E-33E4C19EC0E8}" name="Tabela dinâmica4" cacheId="19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9">
  <location ref="C7:F10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statusrota" fld="1" subtotal="count" baseField="0" baseItem="0"/>
    <dataField name="Soma de qtdavisosatraso" fld="2" baseField="0" baseItem="0"/>
    <dataField name="Soma de qtdavisoscancelamento" fld="3" baseField="0" baseItem="0"/>
  </dataField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fatorotas">
        <x15:activeTabTopLevelEntity name="[fatoro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B685-58EB-4210-8E2E-34255AC56BD4}">
  <dimension ref="C7:I26"/>
  <sheetViews>
    <sheetView topLeftCell="B4" workbookViewId="0">
      <selection activeCell="P13" sqref="P13"/>
    </sheetView>
  </sheetViews>
  <sheetFormatPr defaultRowHeight="14.4" x14ac:dyDescent="0.3"/>
  <cols>
    <col min="3" max="4" width="16.77734375" bestFit="1" customWidth="1"/>
    <col min="5" max="5" width="19.88671875" bestFit="1" customWidth="1"/>
  </cols>
  <sheetData>
    <row r="7" spans="3:5" x14ac:dyDescent="0.3">
      <c r="C7" s="1" t="s">
        <v>8</v>
      </c>
      <c r="D7" t="s" vm="1">
        <v>7</v>
      </c>
    </row>
    <row r="9" spans="3:5" x14ac:dyDescent="0.3">
      <c r="C9" s="1" t="s">
        <v>0</v>
      </c>
      <c r="D9" t="s">
        <v>9</v>
      </c>
      <c r="E9" t="s">
        <v>4</v>
      </c>
    </row>
    <row r="10" spans="3:5" x14ac:dyDescent="0.3">
      <c r="C10" s="2" t="s">
        <v>5</v>
      </c>
      <c r="D10" s="3">
        <v>22.5</v>
      </c>
      <c r="E10" s="3">
        <v>20070</v>
      </c>
    </row>
    <row r="11" spans="3:5" x14ac:dyDescent="0.3">
      <c r="C11" s="2" t="s">
        <v>6</v>
      </c>
      <c r="D11" s="3">
        <v>15</v>
      </c>
      <c r="E11" s="3">
        <v>5946</v>
      </c>
    </row>
    <row r="12" spans="3:5" x14ac:dyDescent="0.3">
      <c r="C12" s="2" t="s">
        <v>3</v>
      </c>
      <c r="D12" s="3">
        <v>37.5</v>
      </c>
      <c r="E12" s="3">
        <v>26016</v>
      </c>
    </row>
    <row r="25" spans="9:9" x14ac:dyDescent="0.3">
      <c r="I25" t="s">
        <v>10</v>
      </c>
    </row>
    <row r="26" spans="9:9" x14ac:dyDescent="0.3">
      <c r="I26" t="s">
        <v>11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FA9A-27D9-493F-A12B-A46726C3E4BC}">
  <dimension ref="E6:F9"/>
  <sheetViews>
    <sheetView workbookViewId="0">
      <selection activeCell="E8" sqref="E7:E8"/>
    </sheetView>
  </sheetViews>
  <sheetFormatPr defaultRowHeight="14.4" x14ac:dyDescent="0.3"/>
  <cols>
    <col min="5" max="5" width="20.21875" bestFit="1" customWidth="1"/>
    <col min="6" max="6" width="19.88671875" bestFit="1" customWidth="1"/>
  </cols>
  <sheetData>
    <row r="6" spans="5:6" x14ac:dyDescent="0.3">
      <c r="E6" s="1" t="s">
        <v>0</v>
      </c>
      <c r="F6" t="s">
        <v>4</v>
      </c>
    </row>
    <row r="7" spans="5:6" x14ac:dyDescent="0.3">
      <c r="E7" s="2" t="s">
        <v>1</v>
      </c>
      <c r="F7" s="3">
        <v>4280</v>
      </c>
    </row>
    <row r="8" spans="5:6" x14ac:dyDescent="0.3">
      <c r="E8" s="2" t="s">
        <v>2</v>
      </c>
      <c r="F8" s="3">
        <v>21736</v>
      </c>
    </row>
    <row r="9" spans="5:6" x14ac:dyDescent="0.3">
      <c r="E9" s="2" t="s">
        <v>3</v>
      </c>
      <c r="F9" s="3">
        <v>26016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4411-3D79-4DCA-8806-14F68E95DF60}">
  <dimension ref="C6:F10"/>
  <sheetViews>
    <sheetView workbookViewId="0">
      <selection activeCell="D21" sqref="D21"/>
    </sheetView>
  </sheetViews>
  <sheetFormatPr defaultRowHeight="14.4" x14ac:dyDescent="0.3"/>
  <cols>
    <col min="3" max="3" width="23.21875" bestFit="1" customWidth="1"/>
    <col min="4" max="4" width="18.109375" bestFit="1" customWidth="1"/>
    <col min="5" max="5" width="7.109375" bestFit="1" customWidth="1"/>
    <col min="6" max="6" width="10" bestFit="1" customWidth="1"/>
  </cols>
  <sheetData>
    <row r="6" spans="3:6" x14ac:dyDescent="0.3">
      <c r="C6" s="1" t="s">
        <v>17</v>
      </c>
      <c r="D6" s="1" t="s">
        <v>14</v>
      </c>
    </row>
    <row r="7" spans="3:6" x14ac:dyDescent="0.3">
      <c r="C7" s="1" t="s">
        <v>0</v>
      </c>
      <c r="D7" t="s">
        <v>15</v>
      </c>
      <c r="E7" t="s">
        <v>16</v>
      </c>
      <c r="F7" t="s">
        <v>3</v>
      </c>
    </row>
    <row r="8" spans="3:6" x14ac:dyDescent="0.3">
      <c r="C8" s="2" t="s">
        <v>12</v>
      </c>
      <c r="D8" s="3"/>
      <c r="E8" s="3">
        <v>1</v>
      </c>
      <c r="F8" s="3">
        <v>1</v>
      </c>
    </row>
    <row r="9" spans="3:6" x14ac:dyDescent="0.3">
      <c r="C9" s="2" t="s">
        <v>13</v>
      </c>
      <c r="D9" s="3">
        <v>1</v>
      </c>
      <c r="E9" s="3"/>
      <c r="F9" s="3">
        <v>1</v>
      </c>
    </row>
    <row r="10" spans="3:6" x14ac:dyDescent="0.3">
      <c r="C10" s="2" t="s">
        <v>3</v>
      </c>
      <c r="D10" s="3">
        <v>1</v>
      </c>
      <c r="E10" s="3">
        <v>1</v>
      </c>
      <c r="F10" s="3">
        <v>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1541-9C2C-4BA5-98FE-857E31DFD7C7}">
  <dimension ref="C4:I10"/>
  <sheetViews>
    <sheetView tabSelected="1" workbookViewId="0">
      <selection activeCell="E22" sqref="E22"/>
    </sheetView>
  </sheetViews>
  <sheetFormatPr defaultRowHeight="14.4" x14ac:dyDescent="0.3"/>
  <cols>
    <col min="3" max="3" width="16.77734375" bestFit="1" customWidth="1"/>
    <col min="4" max="4" width="20.88671875" bestFit="1" customWidth="1"/>
    <col min="5" max="5" width="22.21875" bestFit="1" customWidth="1"/>
    <col min="6" max="6" width="29" bestFit="1" customWidth="1"/>
    <col min="7" max="7" width="29" customWidth="1"/>
    <col min="8" max="8" width="17.5546875" customWidth="1"/>
    <col min="9" max="9" width="20" customWidth="1"/>
  </cols>
  <sheetData>
    <row r="4" spans="3:9" x14ac:dyDescent="0.3">
      <c r="C4" t="s">
        <v>26</v>
      </c>
    </row>
    <row r="7" spans="3:9" x14ac:dyDescent="0.3">
      <c r="C7" s="1" t="s">
        <v>0</v>
      </c>
      <c r="D7" t="s">
        <v>20</v>
      </c>
      <c r="E7" t="s">
        <v>21</v>
      </c>
      <c r="F7" t="s">
        <v>22</v>
      </c>
      <c r="G7" t="s">
        <v>25</v>
      </c>
      <c r="H7" t="s">
        <v>23</v>
      </c>
      <c r="I7" t="s">
        <v>24</v>
      </c>
    </row>
    <row r="8" spans="3:9" x14ac:dyDescent="0.3">
      <c r="C8" s="2" t="s">
        <v>18</v>
      </c>
      <c r="D8" s="3">
        <v>2</v>
      </c>
      <c r="E8" s="3">
        <v>1</v>
      </c>
      <c r="F8" s="3">
        <v>0</v>
      </c>
      <c r="G8" s="3" t="s">
        <v>18</v>
      </c>
      <c r="H8">
        <f xml:space="preserve"> GETPIVOTDATA("[Measures].[Soma de qtdavisosatraso]",$C$7,"[fatorotas].[nomemotorista]","[fatorotas].[nomemotorista].&amp;[Bruno Lima]")/GETPIVOTDATA("[Measures].[Contagem de statusrota]",$C$7,"[fatorotas].[nomemotorista]","[fatorotas].[nomemotorista].&amp;[Bruno Lima]")</f>
        <v>0.5</v>
      </c>
      <c r="I8">
        <f xml:space="preserve"> GETPIVOTDATA("[Measures].[Soma de qtdavisoscancelamento]",$C$7,"[fatorotas].[nomemotorista]","[fatorotas].[nomemotorista].&amp;[Bruno Lima]")/GETPIVOTDATA("[Measures].[Contagem de statusrota]",$C$7,"[fatorotas].[nomemotorista]","[fatorotas].[nomemotorista].&amp;[Bruno Lima]")</f>
        <v>0</v>
      </c>
    </row>
    <row r="9" spans="3:9" x14ac:dyDescent="0.3">
      <c r="C9" s="2" t="s">
        <v>19</v>
      </c>
      <c r="D9" s="3">
        <v>1</v>
      </c>
      <c r="E9" s="3">
        <v>0</v>
      </c>
      <c r="F9" s="3">
        <v>0</v>
      </c>
      <c r="G9" s="3" t="s">
        <v>19</v>
      </c>
      <c r="H9">
        <f xml:space="preserve"> GETPIVOTDATA("[Measures].[Soma de qtdavisosatraso]",$C$7,"[fatorotas].[nomemotorista]","[fatorotas].[nomemotorista].&amp;[Carla Dias]")/GETPIVOTDATA("[Measures].[Contagem de statusrota]",$C$7,"[fatorotas].[nomemotorista]","[fatorotas].[nomemotorista].&amp;[Carla Dias]")</f>
        <v>0</v>
      </c>
      <c r="I9">
        <f xml:space="preserve"> GETPIVOTDATA("[Measures].[Soma de qtdavisoscancelamento]",$C$7,"[fatorotas].[nomemotorista]","[fatorotas].[nomemotorista].&amp;[Carla Dias]")/GETPIVOTDATA("[Measures].[Contagem de statusrota]",$C$7,"[fatorotas].[nomemotorista]","[fatorotas].[nomemotorista].&amp;[Carla Dias]")</f>
        <v>0</v>
      </c>
    </row>
    <row r="10" spans="3:9" x14ac:dyDescent="0.3">
      <c r="C10" s="2" t="s">
        <v>3</v>
      </c>
      <c r="D10" s="3">
        <v>3</v>
      </c>
      <c r="E10" s="3">
        <v>1</v>
      </c>
      <c r="F10" s="3">
        <v>0</v>
      </c>
      <c r="G10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9C2DD-531E-44A0-925F-116E7127C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Lucro Mensal - Dashboard</vt:lpstr>
      <vt:lpstr>Despesas - Dashboard</vt:lpstr>
      <vt:lpstr>Sugestões Rota - Dashboard</vt:lpstr>
      <vt:lpstr>Desempenho -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Alinne Citlali Gutierrez Rohs</dc:creator>
  <cp:lastModifiedBy>Alinne Citlali Gutierrez Rohs</cp:lastModifiedBy>
  <dcterms:created xsi:type="dcterms:W3CDTF">2026-09-14T11:55:18Z</dcterms:created>
  <dcterms:modified xsi:type="dcterms:W3CDTF">2026-09-14T14:52:15Z</dcterms:modified>
</cp:coreProperties>
</file>